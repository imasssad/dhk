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osx/Downloads/"/>
    </mc:Choice>
  </mc:AlternateContent>
  <xr:revisionPtr revIDLastSave="0" documentId="13_ncr:1_{25930D16-416B-BD45-986C-DE114091C835}" xr6:coauthVersionLast="47" xr6:coauthVersionMax="47" xr10:uidLastSave="{00000000-0000-0000-0000-000000000000}"/>
  <bookViews>
    <workbookView xWindow="0" yWindow="500" windowWidth="28800" windowHeight="16320" tabRatio="500" activeTab="1" xr2:uid="{00000000-000D-0000-FFFF-FFFF00000000}"/>
  </bookViews>
  <sheets>
    <sheet name="ODOO" sheetId="1" r:id="rId1"/>
    <sheet name="H.W&amp;S.W&amp;Services" sheetId="2" r:id="rId2"/>
    <sheet name="Sheet1" sheetId="3" r:id="rId3"/>
  </sheets>
  <definedNames>
    <definedName name="_xlnm._FilterDatabase" localSheetId="1" hidden="1">'H.W&amp;S.W&amp;Services'!$O$15:$P$65</definedName>
    <definedName name="Cate">'H.W&amp;S.W&amp;Services'!$T$1:$T$3</definedName>
    <definedName name="Category">'H.W&amp;S.W&amp;Services'!$T$1:$T$3</definedName>
    <definedName name="_xlnm.Criteria" localSheetId="1">'H.W&amp;S.W&amp;Services'!$T$1:$T$3</definedName>
    <definedName name="_xlnm.Extract" localSheetId="1">'H.W&amp;S.W&amp;Services'!$Q$16:$R$16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1" i="1" l="1"/>
  <c r="C201" i="1"/>
  <c r="A201" i="1" s="1"/>
  <c r="D201" i="1"/>
  <c r="E201" i="1"/>
  <c r="F201" i="1"/>
  <c r="G201" i="1"/>
  <c r="H201" i="1"/>
  <c r="I201" i="1"/>
  <c r="J201" i="1"/>
  <c r="B202" i="1"/>
  <c r="C202" i="1"/>
  <c r="A202" i="1" s="1"/>
  <c r="D202" i="1"/>
  <c r="E202" i="1"/>
  <c r="F202" i="1"/>
  <c r="G202" i="1"/>
  <c r="H202" i="1"/>
  <c r="I202" i="1"/>
  <c r="J202" i="1"/>
  <c r="B203" i="1"/>
  <c r="C203" i="1"/>
  <c r="A203" i="1" s="1"/>
  <c r="D203" i="1"/>
  <c r="E203" i="1"/>
  <c r="F203" i="1"/>
  <c r="G203" i="1"/>
  <c r="H203" i="1"/>
  <c r="I203" i="1"/>
  <c r="J203" i="1"/>
  <c r="A204" i="1"/>
  <c r="B204" i="1"/>
  <c r="C204" i="1"/>
  <c r="D204" i="1"/>
  <c r="E204" i="1"/>
  <c r="F204" i="1"/>
  <c r="G204" i="1"/>
  <c r="H204" i="1"/>
  <c r="I204" i="1"/>
  <c r="J204" i="1"/>
  <c r="B205" i="1"/>
  <c r="C205" i="1"/>
  <c r="A205" i="1" s="1"/>
  <c r="D205" i="1"/>
  <c r="E205" i="1"/>
  <c r="F205" i="1"/>
  <c r="G205" i="1"/>
  <c r="H205" i="1"/>
  <c r="I205" i="1"/>
  <c r="J205" i="1"/>
  <c r="B206" i="1"/>
  <c r="C206" i="1"/>
  <c r="A206" i="1" s="1"/>
  <c r="D206" i="1"/>
  <c r="E206" i="1"/>
  <c r="F206" i="1"/>
  <c r="G206" i="1"/>
  <c r="H206" i="1"/>
  <c r="I206" i="1"/>
  <c r="J206" i="1"/>
  <c r="B207" i="1"/>
  <c r="C207" i="1"/>
  <c r="A207" i="1" s="1"/>
  <c r="D207" i="1"/>
  <c r="E207" i="1"/>
  <c r="F207" i="1"/>
  <c r="G207" i="1"/>
  <c r="H207" i="1"/>
  <c r="I207" i="1"/>
  <c r="J207" i="1"/>
  <c r="A208" i="1"/>
  <c r="B208" i="1"/>
  <c r="C208" i="1"/>
  <c r="D208" i="1"/>
  <c r="E208" i="1"/>
  <c r="F208" i="1"/>
  <c r="G208" i="1"/>
  <c r="H208" i="1"/>
  <c r="I208" i="1"/>
  <c r="J208" i="1"/>
  <c r="B209" i="1"/>
  <c r="C209" i="1"/>
  <c r="A209" i="1" s="1"/>
  <c r="D209" i="1"/>
  <c r="E209" i="1"/>
  <c r="F209" i="1"/>
  <c r="G209" i="1"/>
  <c r="H209" i="1"/>
  <c r="I209" i="1"/>
  <c r="J209" i="1"/>
  <c r="B210" i="1"/>
  <c r="C210" i="1"/>
  <c r="A210" i="1" s="1"/>
  <c r="D210" i="1"/>
  <c r="E210" i="1"/>
  <c r="F210" i="1"/>
  <c r="G210" i="1"/>
  <c r="H210" i="1"/>
  <c r="I210" i="1"/>
  <c r="J210" i="1"/>
  <c r="B211" i="1"/>
  <c r="C211" i="1"/>
  <c r="A211" i="1" s="1"/>
  <c r="D211" i="1"/>
  <c r="E211" i="1"/>
  <c r="F211" i="1"/>
  <c r="G211" i="1"/>
  <c r="H211" i="1"/>
  <c r="I211" i="1"/>
  <c r="J211" i="1"/>
  <c r="A212" i="1"/>
  <c r="B212" i="1"/>
  <c r="C212" i="1"/>
  <c r="D212" i="1"/>
  <c r="E212" i="1"/>
  <c r="F212" i="1"/>
  <c r="G212" i="1"/>
  <c r="H212" i="1"/>
  <c r="I212" i="1"/>
  <c r="J212" i="1"/>
  <c r="B213" i="1"/>
  <c r="C213" i="1"/>
  <c r="A213" i="1" s="1"/>
  <c r="D213" i="1"/>
  <c r="E213" i="1"/>
  <c r="F213" i="1"/>
  <c r="G213" i="1"/>
  <c r="H213" i="1"/>
  <c r="I213" i="1"/>
  <c r="J213" i="1"/>
  <c r="B214" i="1"/>
  <c r="C214" i="1"/>
  <c r="A214" i="1" s="1"/>
  <c r="D214" i="1"/>
  <c r="E214" i="1"/>
  <c r="F214" i="1"/>
  <c r="G214" i="1"/>
  <c r="H214" i="1"/>
  <c r="I214" i="1"/>
  <c r="J214" i="1"/>
  <c r="B215" i="1"/>
  <c r="C215" i="1"/>
  <c r="A215" i="1" s="1"/>
  <c r="D215" i="1"/>
  <c r="E215" i="1"/>
  <c r="F215" i="1"/>
  <c r="G215" i="1"/>
  <c r="H215" i="1"/>
  <c r="I215" i="1"/>
  <c r="J215" i="1"/>
  <c r="A216" i="1"/>
  <c r="B216" i="1"/>
  <c r="C216" i="1"/>
  <c r="D216" i="1"/>
  <c r="E216" i="1"/>
  <c r="F216" i="1"/>
  <c r="G216" i="1"/>
  <c r="H216" i="1"/>
  <c r="I216" i="1"/>
  <c r="J216" i="1"/>
  <c r="B217" i="1"/>
  <c r="C217" i="1"/>
  <c r="A217" i="1" s="1"/>
  <c r="D217" i="1"/>
  <c r="E217" i="1"/>
  <c r="F217" i="1"/>
  <c r="G217" i="1"/>
  <c r="H217" i="1"/>
  <c r="I217" i="1"/>
  <c r="J217" i="1"/>
  <c r="B218" i="1"/>
  <c r="C218" i="1"/>
  <c r="A218" i="1" s="1"/>
  <c r="D218" i="1"/>
  <c r="E218" i="1"/>
  <c r="F218" i="1"/>
  <c r="G218" i="1"/>
  <c r="H218" i="1"/>
  <c r="I218" i="1"/>
  <c r="J218" i="1"/>
  <c r="B219" i="1"/>
  <c r="C219" i="1"/>
  <c r="A219" i="1" s="1"/>
  <c r="D219" i="1"/>
  <c r="E219" i="1"/>
  <c r="F219" i="1"/>
  <c r="G219" i="1"/>
  <c r="H219" i="1"/>
  <c r="I219" i="1"/>
  <c r="J219" i="1"/>
  <c r="A220" i="1"/>
  <c r="B220" i="1"/>
  <c r="C220" i="1"/>
  <c r="D220" i="1"/>
  <c r="E220" i="1"/>
  <c r="F220" i="1"/>
  <c r="G220" i="1"/>
  <c r="H220" i="1"/>
  <c r="I220" i="1"/>
  <c r="J220" i="1"/>
  <c r="B221" i="1"/>
  <c r="C221" i="1"/>
  <c r="A221" i="1" s="1"/>
  <c r="D221" i="1"/>
  <c r="E221" i="1"/>
  <c r="F221" i="1"/>
  <c r="G221" i="1"/>
  <c r="H221" i="1"/>
  <c r="I221" i="1"/>
  <c r="J221" i="1"/>
  <c r="B222" i="1"/>
  <c r="C222" i="1"/>
  <c r="A222" i="1" s="1"/>
  <c r="D222" i="1"/>
  <c r="E222" i="1"/>
  <c r="F222" i="1"/>
  <c r="G222" i="1"/>
  <c r="H222" i="1"/>
  <c r="I222" i="1"/>
  <c r="J222" i="1"/>
  <c r="B223" i="1"/>
  <c r="C223" i="1"/>
  <c r="A223" i="1" s="1"/>
  <c r="D223" i="1"/>
  <c r="E223" i="1"/>
  <c r="F223" i="1"/>
  <c r="G223" i="1"/>
  <c r="H223" i="1"/>
  <c r="I223" i="1"/>
  <c r="J223" i="1"/>
  <c r="A224" i="1"/>
  <c r="B224" i="1"/>
  <c r="C224" i="1"/>
  <c r="D224" i="1"/>
  <c r="E224" i="1"/>
  <c r="F224" i="1"/>
  <c r="G224" i="1"/>
  <c r="H224" i="1"/>
  <c r="I224" i="1"/>
  <c r="J224" i="1"/>
  <c r="A225" i="1"/>
  <c r="B225" i="1"/>
  <c r="C225" i="1"/>
  <c r="D225" i="1"/>
  <c r="E225" i="1"/>
  <c r="F225" i="1"/>
  <c r="G225" i="1"/>
  <c r="H225" i="1"/>
  <c r="I225" i="1"/>
  <c r="J225" i="1"/>
  <c r="B226" i="1"/>
  <c r="C226" i="1"/>
  <c r="A226" i="1" s="1"/>
  <c r="D226" i="1"/>
  <c r="E226" i="1"/>
  <c r="F226" i="1"/>
  <c r="G226" i="1"/>
  <c r="H226" i="1"/>
  <c r="I226" i="1"/>
  <c r="J226" i="1"/>
  <c r="B227" i="1"/>
  <c r="C227" i="1"/>
  <c r="A227" i="1" s="1"/>
  <c r="D227" i="1"/>
  <c r="E227" i="1"/>
  <c r="F227" i="1"/>
  <c r="G227" i="1"/>
  <c r="H227" i="1"/>
  <c r="I227" i="1"/>
  <c r="J227" i="1"/>
  <c r="A228" i="1"/>
  <c r="B228" i="1"/>
  <c r="C228" i="1"/>
  <c r="D228" i="1"/>
  <c r="E228" i="1"/>
  <c r="F228" i="1"/>
  <c r="G228" i="1"/>
  <c r="H228" i="1"/>
  <c r="I228" i="1"/>
  <c r="J228" i="1"/>
  <c r="A229" i="1"/>
  <c r="B229" i="1"/>
  <c r="C229" i="1"/>
  <c r="D229" i="1"/>
  <c r="E229" i="1"/>
  <c r="F229" i="1"/>
  <c r="G229" i="1"/>
  <c r="H229" i="1"/>
  <c r="I229" i="1"/>
  <c r="J229" i="1"/>
  <c r="B230" i="1"/>
  <c r="C230" i="1"/>
  <c r="A230" i="1" s="1"/>
  <c r="D230" i="1"/>
  <c r="E230" i="1"/>
  <c r="F230" i="1"/>
  <c r="G230" i="1"/>
  <c r="H230" i="1"/>
  <c r="I230" i="1"/>
  <c r="J230" i="1"/>
  <c r="B231" i="1"/>
  <c r="C231" i="1"/>
  <c r="A231" i="1" s="1"/>
  <c r="D231" i="1"/>
  <c r="E231" i="1"/>
  <c r="F231" i="1"/>
  <c r="G231" i="1"/>
  <c r="H231" i="1"/>
  <c r="I231" i="1"/>
  <c r="J231" i="1"/>
  <c r="A232" i="1"/>
  <c r="B232" i="1"/>
  <c r="C232" i="1"/>
  <c r="D232" i="1"/>
  <c r="E232" i="1"/>
  <c r="F232" i="1"/>
  <c r="G232" i="1"/>
  <c r="H232" i="1"/>
  <c r="I232" i="1"/>
  <c r="J232" i="1"/>
  <c r="A233" i="1"/>
  <c r="B233" i="1"/>
  <c r="C233" i="1"/>
  <c r="D233" i="1"/>
  <c r="E233" i="1"/>
  <c r="F233" i="1"/>
  <c r="G233" i="1"/>
  <c r="H233" i="1"/>
  <c r="I233" i="1"/>
  <c r="J233" i="1"/>
  <c r="B234" i="1"/>
  <c r="C234" i="1"/>
  <c r="A234" i="1" s="1"/>
  <c r="D234" i="1"/>
  <c r="E234" i="1"/>
  <c r="F234" i="1"/>
  <c r="G234" i="1"/>
  <c r="H234" i="1"/>
  <c r="I234" i="1"/>
  <c r="J234" i="1"/>
  <c r="B235" i="1"/>
  <c r="C235" i="1"/>
  <c r="A235" i="1" s="1"/>
  <c r="D235" i="1"/>
  <c r="E235" i="1"/>
  <c r="F235" i="1"/>
  <c r="G235" i="1"/>
  <c r="H235" i="1"/>
  <c r="I235" i="1"/>
  <c r="J235" i="1"/>
  <c r="A236" i="1"/>
  <c r="B236" i="1"/>
  <c r="C236" i="1"/>
  <c r="D236" i="1"/>
  <c r="E236" i="1"/>
  <c r="F236" i="1"/>
  <c r="G236" i="1"/>
  <c r="H236" i="1"/>
  <c r="I236" i="1"/>
  <c r="J236" i="1"/>
  <c r="A237" i="1"/>
  <c r="B237" i="1"/>
  <c r="C237" i="1"/>
  <c r="D237" i="1"/>
  <c r="E237" i="1"/>
  <c r="F237" i="1"/>
  <c r="G237" i="1"/>
  <c r="H237" i="1"/>
  <c r="I237" i="1"/>
  <c r="J237" i="1"/>
  <c r="B238" i="1"/>
  <c r="C238" i="1"/>
  <c r="A238" i="1" s="1"/>
  <c r="D238" i="1"/>
  <c r="E238" i="1"/>
  <c r="F238" i="1"/>
  <c r="G238" i="1"/>
  <c r="H238" i="1"/>
  <c r="I238" i="1"/>
  <c r="J238" i="1"/>
  <c r="B239" i="1"/>
  <c r="C239" i="1"/>
  <c r="A239" i="1" s="1"/>
  <c r="D239" i="1"/>
  <c r="E239" i="1"/>
  <c r="F239" i="1"/>
  <c r="G239" i="1"/>
  <c r="H239" i="1"/>
  <c r="I239" i="1"/>
  <c r="J239" i="1"/>
  <c r="A240" i="1"/>
  <c r="B240" i="1"/>
  <c r="C240" i="1"/>
  <c r="D240" i="1"/>
  <c r="E240" i="1"/>
  <c r="F240" i="1"/>
  <c r="G240" i="1"/>
  <c r="H240" i="1"/>
  <c r="I240" i="1"/>
  <c r="J240" i="1"/>
  <c r="A241" i="1"/>
  <c r="B241" i="1"/>
  <c r="C241" i="1"/>
  <c r="D241" i="1"/>
  <c r="E241" i="1"/>
  <c r="F241" i="1"/>
  <c r="G241" i="1"/>
  <c r="H241" i="1"/>
  <c r="I241" i="1"/>
  <c r="J241" i="1"/>
  <c r="B242" i="1"/>
  <c r="C242" i="1"/>
  <c r="A242" i="1" s="1"/>
  <c r="D242" i="1"/>
  <c r="E242" i="1"/>
  <c r="F242" i="1"/>
  <c r="G242" i="1"/>
  <c r="H242" i="1"/>
  <c r="I242" i="1"/>
  <c r="J242" i="1"/>
  <c r="B243" i="1"/>
  <c r="C243" i="1"/>
  <c r="A243" i="1" s="1"/>
  <c r="D243" i="1"/>
  <c r="E243" i="1"/>
  <c r="F243" i="1"/>
  <c r="G243" i="1"/>
  <c r="H243" i="1"/>
  <c r="I243" i="1"/>
  <c r="J243" i="1"/>
  <c r="A244" i="1"/>
  <c r="B244" i="1"/>
  <c r="C244" i="1"/>
  <c r="D244" i="1"/>
  <c r="E244" i="1"/>
  <c r="F244" i="1"/>
  <c r="G244" i="1"/>
  <c r="H244" i="1"/>
  <c r="I244" i="1"/>
  <c r="J244" i="1"/>
  <c r="A245" i="1"/>
  <c r="B245" i="1"/>
  <c r="C245" i="1"/>
  <c r="D245" i="1"/>
  <c r="E245" i="1"/>
  <c r="F245" i="1"/>
  <c r="G245" i="1"/>
  <c r="H245" i="1"/>
  <c r="I245" i="1"/>
  <c r="J245" i="1"/>
  <c r="B246" i="1"/>
  <c r="C246" i="1"/>
  <c r="A246" i="1" s="1"/>
  <c r="D246" i="1"/>
  <c r="E246" i="1"/>
  <c r="F246" i="1"/>
  <c r="G246" i="1"/>
  <c r="H246" i="1"/>
  <c r="I246" i="1"/>
  <c r="J246" i="1"/>
  <c r="B247" i="1"/>
  <c r="C247" i="1"/>
  <c r="A247" i="1" s="1"/>
  <c r="D247" i="1"/>
  <c r="E247" i="1"/>
  <c r="F247" i="1"/>
  <c r="G247" i="1"/>
  <c r="H247" i="1"/>
  <c r="I247" i="1"/>
  <c r="J247" i="1"/>
  <c r="A248" i="1"/>
  <c r="B248" i="1"/>
  <c r="C248" i="1"/>
  <c r="D248" i="1"/>
  <c r="E248" i="1"/>
  <c r="F248" i="1"/>
  <c r="G248" i="1"/>
  <c r="H248" i="1"/>
  <c r="I248" i="1"/>
  <c r="J248" i="1"/>
  <c r="A249" i="1"/>
  <c r="B249" i="1"/>
  <c r="C249" i="1"/>
  <c r="D249" i="1"/>
  <c r="E249" i="1"/>
  <c r="F249" i="1"/>
  <c r="G249" i="1"/>
  <c r="H249" i="1"/>
  <c r="I249" i="1"/>
  <c r="J249" i="1"/>
  <c r="B250" i="1"/>
  <c r="C250" i="1"/>
  <c r="A250" i="1" s="1"/>
  <c r="D250" i="1"/>
  <c r="E250" i="1"/>
  <c r="F250" i="1"/>
  <c r="G250" i="1"/>
  <c r="H250" i="1"/>
  <c r="I250" i="1"/>
  <c r="J250" i="1"/>
  <c r="B251" i="1"/>
  <c r="C251" i="1"/>
  <c r="A251" i="1" s="1"/>
  <c r="D251" i="1"/>
  <c r="E251" i="1"/>
  <c r="F251" i="1"/>
  <c r="G251" i="1"/>
  <c r="H251" i="1"/>
  <c r="I251" i="1"/>
  <c r="J251" i="1"/>
  <c r="A252" i="1"/>
  <c r="B252" i="1"/>
  <c r="C252" i="1"/>
  <c r="D252" i="1"/>
  <c r="E252" i="1"/>
  <c r="F252" i="1"/>
  <c r="G252" i="1"/>
  <c r="H252" i="1"/>
  <c r="I252" i="1"/>
  <c r="J252" i="1"/>
  <c r="A253" i="1"/>
  <c r="B253" i="1"/>
  <c r="C253" i="1"/>
  <c r="D253" i="1"/>
  <c r="E253" i="1"/>
  <c r="F253" i="1"/>
  <c r="G253" i="1"/>
  <c r="H253" i="1"/>
  <c r="I253" i="1"/>
  <c r="J253" i="1"/>
  <c r="B254" i="1"/>
  <c r="C254" i="1"/>
  <c r="A254" i="1" s="1"/>
  <c r="D254" i="1"/>
  <c r="E254" i="1"/>
  <c r="F254" i="1"/>
  <c r="G254" i="1"/>
  <c r="H254" i="1"/>
  <c r="I254" i="1"/>
  <c r="J254" i="1"/>
  <c r="B255" i="1"/>
  <c r="C255" i="1"/>
  <c r="A255" i="1" s="1"/>
  <c r="D255" i="1"/>
  <c r="E255" i="1"/>
  <c r="F255" i="1"/>
  <c r="G255" i="1"/>
  <c r="H255" i="1"/>
  <c r="I255" i="1"/>
  <c r="J255" i="1"/>
  <c r="A256" i="1"/>
  <c r="B256" i="1"/>
  <c r="C256" i="1"/>
  <c r="D256" i="1"/>
  <c r="E256" i="1"/>
  <c r="F256" i="1"/>
  <c r="G256" i="1"/>
  <c r="H256" i="1"/>
  <c r="I256" i="1"/>
  <c r="J256" i="1"/>
  <c r="A257" i="1"/>
  <c r="B257" i="1"/>
  <c r="C257" i="1"/>
  <c r="D257" i="1"/>
  <c r="E257" i="1"/>
  <c r="F257" i="1"/>
  <c r="G257" i="1"/>
  <c r="H257" i="1"/>
  <c r="I257" i="1"/>
  <c r="J257" i="1"/>
  <c r="B258" i="1"/>
  <c r="C258" i="1"/>
  <c r="A258" i="1" s="1"/>
  <c r="D258" i="1"/>
  <c r="E258" i="1"/>
  <c r="F258" i="1"/>
  <c r="G258" i="1"/>
  <c r="H258" i="1"/>
  <c r="I258" i="1"/>
  <c r="J258" i="1"/>
  <c r="B259" i="1"/>
  <c r="C259" i="1"/>
  <c r="A259" i="1" s="1"/>
  <c r="D259" i="1"/>
  <c r="E259" i="1"/>
  <c r="F259" i="1"/>
  <c r="G259" i="1"/>
  <c r="H259" i="1"/>
  <c r="I259" i="1"/>
  <c r="J259" i="1"/>
  <c r="A260" i="1"/>
  <c r="B260" i="1"/>
  <c r="C260" i="1"/>
  <c r="D260" i="1"/>
  <c r="E260" i="1"/>
  <c r="F260" i="1"/>
  <c r="G260" i="1"/>
  <c r="H260" i="1"/>
  <c r="I260" i="1"/>
  <c r="J260" i="1"/>
  <c r="A261" i="1"/>
  <c r="B261" i="1"/>
  <c r="C261" i="1"/>
  <c r="D261" i="1"/>
  <c r="E261" i="1"/>
  <c r="F261" i="1"/>
  <c r="G261" i="1"/>
  <c r="H261" i="1"/>
  <c r="I261" i="1"/>
  <c r="J261" i="1"/>
  <c r="B262" i="1"/>
  <c r="C262" i="1"/>
  <c r="A262" i="1" s="1"/>
  <c r="D262" i="1"/>
  <c r="E262" i="1"/>
  <c r="F262" i="1"/>
  <c r="G262" i="1"/>
  <c r="H262" i="1"/>
  <c r="I262" i="1"/>
  <c r="J262" i="1"/>
  <c r="B263" i="1"/>
  <c r="C263" i="1"/>
  <c r="A263" i="1" s="1"/>
  <c r="D263" i="1"/>
  <c r="E263" i="1"/>
  <c r="F263" i="1"/>
  <c r="G263" i="1"/>
  <c r="H263" i="1"/>
  <c r="I263" i="1"/>
  <c r="J263" i="1"/>
  <c r="A264" i="1"/>
  <c r="B264" i="1"/>
  <c r="C264" i="1"/>
  <c r="D264" i="1"/>
  <c r="E264" i="1"/>
  <c r="F264" i="1"/>
  <c r="G264" i="1"/>
  <c r="H264" i="1"/>
  <c r="I264" i="1"/>
  <c r="J264" i="1"/>
  <c r="A265" i="1"/>
  <c r="B265" i="1"/>
  <c r="C265" i="1"/>
  <c r="D265" i="1"/>
  <c r="E265" i="1"/>
  <c r="F265" i="1"/>
  <c r="G265" i="1"/>
  <c r="H265" i="1"/>
  <c r="I265" i="1"/>
  <c r="J265" i="1"/>
  <c r="B266" i="1"/>
  <c r="C266" i="1"/>
  <c r="A266" i="1" s="1"/>
  <c r="D266" i="1"/>
  <c r="E266" i="1"/>
  <c r="F266" i="1"/>
  <c r="G266" i="1"/>
  <c r="H266" i="1"/>
  <c r="I266" i="1"/>
  <c r="J266" i="1"/>
  <c r="B267" i="1"/>
  <c r="C267" i="1"/>
  <c r="A267" i="1" s="1"/>
  <c r="D267" i="1"/>
  <c r="E267" i="1"/>
  <c r="F267" i="1"/>
  <c r="G267" i="1"/>
  <c r="H267" i="1"/>
  <c r="I267" i="1"/>
  <c r="J267" i="1"/>
  <c r="A268" i="1"/>
  <c r="B268" i="1"/>
  <c r="C268" i="1"/>
  <c r="D268" i="1"/>
  <c r="E268" i="1"/>
  <c r="F268" i="1"/>
  <c r="G268" i="1"/>
  <c r="H268" i="1"/>
  <c r="I268" i="1"/>
  <c r="J268" i="1"/>
  <c r="A269" i="1"/>
  <c r="B269" i="1"/>
  <c r="C269" i="1"/>
  <c r="D269" i="1"/>
  <c r="E269" i="1"/>
  <c r="F269" i="1"/>
  <c r="G269" i="1"/>
  <c r="H269" i="1"/>
  <c r="I269" i="1"/>
  <c r="J269" i="1"/>
  <c r="B270" i="1"/>
  <c r="C270" i="1"/>
  <c r="A270" i="1" s="1"/>
  <c r="D270" i="1"/>
  <c r="E270" i="1"/>
  <c r="F270" i="1"/>
  <c r="G270" i="1"/>
  <c r="H270" i="1"/>
  <c r="I270" i="1"/>
  <c r="J270" i="1"/>
  <c r="B271" i="1"/>
  <c r="C271" i="1"/>
  <c r="A271" i="1" s="1"/>
  <c r="D271" i="1"/>
  <c r="E271" i="1"/>
  <c r="F271" i="1"/>
  <c r="G271" i="1"/>
  <c r="H271" i="1"/>
  <c r="I271" i="1"/>
  <c r="J271" i="1"/>
  <c r="A272" i="1"/>
  <c r="B272" i="1"/>
  <c r="C272" i="1"/>
  <c r="D272" i="1"/>
  <c r="E272" i="1"/>
  <c r="F272" i="1"/>
  <c r="G272" i="1"/>
  <c r="H272" i="1"/>
  <c r="I272" i="1"/>
  <c r="J272" i="1"/>
  <c r="A273" i="1"/>
  <c r="B273" i="1"/>
  <c r="C273" i="1"/>
  <c r="D273" i="1"/>
  <c r="E273" i="1"/>
  <c r="F273" i="1"/>
  <c r="G273" i="1"/>
  <c r="H273" i="1"/>
  <c r="I273" i="1"/>
  <c r="J273" i="1"/>
  <c r="B274" i="1"/>
  <c r="C274" i="1"/>
  <c r="A274" i="1" s="1"/>
  <c r="D274" i="1"/>
  <c r="E274" i="1"/>
  <c r="F274" i="1"/>
  <c r="G274" i="1"/>
  <c r="H274" i="1"/>
  <c r="I274" i="1"/>
  <c r="J274" i="1"/>
  <c r="B275" i="1"/>
  <c r="C275" i="1"/>
  <c r="A275" i="1" s="1"/>
  <c r="D275" i="1"/>
  <c r="E275" i="1"/>
  <c r="F275" i="1"/>
  <c r="G275" i="1"/>
  <c r="H275" i="1"/>
  <c r="I275" i="1"/>
  <c r="J275" i="1"/>
  <c r="A276" i="1"/>
  <c r="B276" i="1"/>
  <c r="C276" i="1"/>
  <c r="D276" i="1"/>
  <c r="E276" i="1"/>
  <c r="F276" i="1"/>
  <c r="G276" i="1"/>
  <c r="H276" i="1"/>
  <c r="I276" i="1"/>
  <c r="J276" i="1"/>
  <c r="A277" i="1"/>
  <c r="B277" i="1"/>
  <c r="C277" i="1"/>
  <c r="D277" i="1"/>
  <c r="E277" i="1"/>
  <c r="F277" i="1"/>
  <c r="G277" i="1"/>
  <c r="H277" i="1"/>
  <c r="I277" i="1"/>
  <c r="J277" i="1"/>
  <c r="B278" i="1"/>
  <c r="C278" i="1"/>
  <c r="A278" i="1" s="1"/>
  <c r="D278" i="1"/>
  <c r="E278" i="1"/>
  <c r="F278" i="1"/>
  <c r="G278" i="1"/>
  <c r="H278" i="1"/>
  <c r="I278" i="1"/>
  <c r="J278" i="1"/>
  <c r="B279" i="1"/>
  <c r="C279" i="1"/>
  <c r="A279" i="1" s="1"/>
  <c r="D279" i="1"/>
  <c r="E279" i="1"/>
  <c r="F279" i="1"/>
  <c r="G279" i="1"/>
  <c r="H279" i="1"/>
  <c r="I279" i="1"/>
  <c r="J279" i="1"/>
  <c r="A280" i="1"/>
  <c r="B280" i="1"/>
  <c r="C280" i="1"/>
  <c r="D280" i="1"/>
  <c r="E280" i="1"/>
  <c r="F280" i="1"/>
  <c r="G280" i="1"/>
  <c r="H280" i="1"/>
  <c r="I280" i="1"/>
  <c r="J280" i="1"/>
  <c r="A281" i="1"/>
  <c r="B281" i="1"/>
  <c r="C281" i="1"/>
  <c r="D281" i="1"/>
  <c r="E281" i="1"/>
  <c r="F281" i="1"/>
  <c r="G281" i="1"/>
  <c r="H281" i="1"/>
  <c r="I281" i="1"/>
  <c r="J281" i="1"/>
  <c r="B282" i="1"/>
  <c r="C282" i="1"/>
  <c r="A282" i="1" s="1"/>
  <c r="D282" i="1"/>
  <c r="E282" i="1"/>
  <c r="F282" i="1"/>
  <c r="G282" i="1"/>
  <c r="H282" i="1"/>
  <c r="I282" i="1"/>
  <c r="J282" i="1"/>
  <c r="B283" i="1"/>
  <c r="C283" i="1"/>
  <c r="A283" i="1" s="1"/>
  <c r="D283" i="1"/>
  <c r="E283" i="1"/>
  <c r="F283" i="1"/>
  <c r="G283" i="1"/>
  <c r="H283" i="1"/>
  <c r="I283" i="1"/>
  <c r="J283" i="1"/>
  <c r="A284" i="1"/>
  <c r="B284" i="1"/>
  <c r="C284" i="1"/>
  <c r="D284" i="1"/>
  <c r="E284" i="1"/>
  <c r="F284" i="1"/>
  <c r="G284" i="1"/>
  <c r="H284" i="1"/>
  <c r="I284" i="1"/>
  <c r="J284" i="1"/>
  <c r="A285" i="1"/>
  <c r="B285" i="1"/>
  <c r="C285" i="1"/>
  <c r="D285" i="1"/>
  <c r="E285" i="1"/>
  <c r="F285" i="1"/>
  <c r="G285" i="1"/>
  <c r="H285" i="1"/>
  <c r="I285" i="1"/>
  <c r="J285" i="1"/>
  <c r="B286" i="1"/>
  <c r="C286" i="1"/>
  <c r="A286" i="1" s="1"/>
  <c r="D286" i="1"/>
  <c r="E286" i="1"/>
  <c r="F286" i="1"/>
  <c r="G286" i="1"/>
  <c r="H286" i="1"/>
  <c r="I286" i="1"/>
  <c r="J286" i="1"/>
  <c r="B287" i="1"/>
  <c r="C287" i="1"/>
  <c r="A287" i="1" s="1"/>
  <c r="D287" i="1"/>
  <c r="E287" i="1"/>
  <c r="F287" i="1"/>
  <c r="G287" i="1"/>
  <c r="H287" i="1"/>
  <c r="I287" i="1"/>
  <c r="J287" i="1"/>
  <c r="A288" i="1"/>
  <c r="B288" i="1"/>
  <c r="C288" i="1"/>
  <c r="D288" i="1"/>
  <c r="E288" i="1"/>
  <c r="F288" i="1"/>
  <c r="G288" i="1"/>
  <c r="H288" i="1"/>
  <c r="I288" i="1"/>
  <c r="J288" i="1"/>
  <c r="A289" i="1"/>
  <c r="B289" i="1"/>
  <c r="C289" i="1"/>
  <c r="D289" i="1"/>
  <c r="E289" i="1"/>
  <c r="F289" i="1"/>
  <c r="G289" i="1"/>
  <c r="H289" i="1"/>
  <c r="I289" i="1"/>
  <c r="J289" i="1"/>
  <c r="B290" i="1"/>
  <c r="C290" i="1"/>
  <c r="A290" i="1" s="1"/>
  <c r="D290" i="1"/>
  <c r="E290" i="1"/>
  <c r="F290" i="1"/>
  <c r="G290" i="1"/>
  <c r="H290" i="1"/>
  <c r="I290" i="1"/>
  <c r="J290" i="1"/>
  <c r="B291" i="1"/>
  <c r="C291" i="1"/>
  <c r="A291" i="1" s="1"/>
  <c r="D291" i="1"/>
  <c r="E291" i="1"/>
  <c r="F291" i="1"/>
  <c r="G291" i="1"/>
  <c r="H291" i="1"/>
  <c r="I291" i="1"/>
  <c r="J291" i="1"/>
  <c r="A292" i="1"/>
  <c r="B292" i="1"/>
  <c r="C292" i="1"/>
  <c r="D292" i="1"/>
  <c r="E292" i="1"/>
  <c r="F292" i="1"/>
  <c r="G292" i="1"/>
  <c r="H292" i="1"/>
  <c r="I292" i="1"/>
  <c r="J292" i="1"/>
  <c r="A293" i="1"/>
  <c r="B293" i="1"/>
  <c r="C293" i="1"/>
  <c r="D293" i="1"/>
  <c r="E293" i="1"/>
  <c r="F293" i="1"/>
  <c r="G293" i="1"/>
  <c r="H293" i="1"/>
  <c r="I293" i="1"/>
  <c r="J293" i="1"/>
  <c r="B294" i="1"/>
  <c r="C294" i="1"/>
  <c r="A294" i="1" s="1"/>
  <c r="D294" i="1"/>
  <c r="E294" i="1"/>
  <c r="F294" i="1"/>
  <c r="G294" i="1"/>
  <c r="H294" i="1"/>
  <c r="I294" i="1"/>
  <c r="J294" i="1"/>
  <c r="B295" i="1"/>
  <c r="C295" i="1"/>
  <c r="A295" i="1" s="1"/>
  <c r="D295" i="1"/>
  <c r="E295" i="1"/>
  <c r="F295" i="1"/>
  <c r="G295" i="1"/>
  <c r="H295" i="1"/>
  <c r="I295" i="1"/>
  <c r="J295" i="1"/>
  <c r="A296" i="1"/>
  <c r="B296" i="1"/>
  <c r="C296" i="1"/>
  <c r="D296" i="1"/>
  <c r="E296" i="1"/>
  <c r="F296" i="1"/>
  <c r="G296" i="1"/>
  <c r="H296" i="1"/>
  <c r="I296" i="1"/>
  <c r="J296" i="1"/>
  <c r="A297" i="1"/>
  <c r="B297" i="1"/>
  <c r="C297" i="1"/>
  <c r="D297" i="1"/>
  <c r="E297" i="1"/>
  <c r="F297" i="1"/>
  <c r="G297" i="1"/>
  <c r="H297" i="1"/>
  <c r="I297" i="1"/>
  <c r="J297" i="1"/>
  <c r="B298" i="1"/>
  <c r="C298" i="1"/>
  <c r="A298" i="1" s="1"/>
  <c r="D298" i="1"/>
  <c r="E298" i="1"/>
  <c r="F298" i="1"/>
  <c r="G298" i="1"/>
  <c r="H298" i="1"/>
  <c r="I298" i="1"/>
  <c r="J298" i="1"/>
  <c r="B299" i="1"/>
  <c r="C299" i="1"/>
  <c r="A299" i="1" s="1"/>
  <c r="D299" i="1"/>
  <c r="E299" i="1"/>
  <c r="F299" i="1"/>
  <c r="G299" i="1"/>
  <c r="H299" i="1"/>
  <c r="I299" i="1"/>
  <c r="J299" i="1"/>
  <c r="A300" i="1"/>
  <c r="B300" i="1"/>
  <c r="C300" i="1"/>
  <c r="D300" i="1"/>
  <c r="E300" i="1"/>
  <c r="F300" i="1"/>
  <c r="G300" i="1"/>
  <c r="H300" i="1"/>
  <c r="I300" i="1"/>
  <c r="J300" i="1"/>
  <c r="A301" i="1"/>
  <c r="B301" i="1"/>
  <c r="C301" i="1"/>
  <c r="D301" i="1"/>
  <c r="E301" i="1"/>
  <c r="F301" i="1"/>
  <c r="G301" i="1"/>
  <c r="H301" i="1"/>
  <c r="I301" i="1"/>
  <c r="J301" i="1"/>
  <c r="B302" i="1"/>
  <c r="C302" i="1"/>
  <c r="A302" i="1" s="1"/>
  <c r="D302" i="1"/>
  <c r="E302" i="1"/>
  <c r="F302" i="1"/>
  <c r="G302" i="1"/>
  <c r="H302" i="1"/>
  <c r="I302" i="1"/>
  <c r="J302" i="1"/>
  <c r="B303" i="1"/>
  <c r="C303" i="1"/>
  <c r="A303" i="1" s="1"/>
  <c r="D303" i="1"/>
  <c r="E303" i="1"/>
  <c r="F303" i="1"/>
  <c r="G303" i="1"/>
  <c r="H303" i="1"/>
  <c r="I303" i="1"/>
  <c r="J303" i="1"/>
  <c r="A304" i="1"/>
  <c r="B304" i="1"/>
  <c r="C304" i="1"/>
  <c r="D304" i="1"/>
  <c r="E304" i="1"/>
  <c r="F304" i="1"/>
  <c r="G304" i="1"/>
  <c r="H304" i="1"/>
  <c r="I304" i="1"/>
  <c r="J304" i="1"/>
  <c r="A305" i="1"/>
  <c r="B305" i="1"/>
  <c r="C305" i="1"/>
  <c r="D305" i="1"/>
  <c r="E305" i="1"/>
  <c r="F305" i="1"/>
  <c r="G305" i="1"/>
  <c r="H305" i="1"/>
  <c r="I305" i="1"/>
  <c r="J305" i="1"/>
  <c r="B306" i="1"/>
  <c r="C306" i="1"/>
  <c r="A306" i="1" s="1"/>
  <c r="D306" i="1"/>
  <c r="E306" i="1"/>
  <c r="F306" i="1"/>
  <c r="G306" i="1"/>
  <c r="H306" i="1"/>
  <c r="I306" i="1"/>
  <c r="J306" i="1"/>
  <c r="B307" i="1"/>
  <c r="C307" i="1"/>
  <c r="A307" i="1" s="1"/>
  <c r="D307" i="1"/>
  <c r="E307" i="1"/>
  <c r="F307" i="1"/>
  <c r="G307" i="1"/>
  <c r="H307" i="1"/>
  <c r="I307" i="1"/>
  <c r="J307" i="1"/>
  <c r="A308" i="1"/>
  <c r="B308" i="1"/>
  <c r="C308" i="1"/>
  <c r="D308" i="1"/>
  <c r="E308" i="1"/>
  <c r="F308" i="1"/>
  <c r="G308" i="1"/>
  <c r="H308" i="1"/>
  <c r="I308" i="1"/>
  <c r="J308" i="1"/>
  <c r="A309" i="1"/>
  <c r="B309" i="1"/>
  <c r="C309" i="1"/>
  <c r="D309" i="1"/>
  <c r="E309" i="1"/>
  <c r="F309" i="1"/>
  <c r="G309" i="1"/>
  <c r="H309" i="1"/>
  <c r="I309" i="1"/>
  <c r="J309" i="1"/>
  <c r="B310" i="1"/>
  <c r="C310" i="1"/>
  <c r="A310" i="1" s="1"/>
  <c r="D310" i="1"/>
  <c r="E310" i="1"/>
  <c r="F310" i="1"/>
  <c r="G310" i="1"/>
  <c r="H310" i="1"/>
  <c r="I310" i="1"/>
  <c r="J310" i="1"/>
  <c r="B311" i="1"/>
  <c r="C311" i="1"/>
  <c r="A311" i="1" s="1"/>
  <c r="D311" i="1"/>
  <c r="E311" i="1"/>
  <c r="F311" i="1"/>
  <c r="G311" i="1"/>
  <c r="H311" i="1"/>
  <c r="I311" i="1"/>
  <c r="J311" i="1"/>
  <c r="A312" i="1"/>
  <c r="B312" i="1"/>
  <c r="C312" i="1"/>
  <c r="D312" i="1"/>
  <c r="E312" i="1"/>
  <c r="F312" i="1"/>
  <c r="G312" i="1"/>
  <c r="H312" i="1"/>
  <c r="I312" i="1"/>
  <c r="J312" i="1"/>
  <c r="A313" i="1"/>
  <c r="B313" i="1"/>
  <c r="C313" i="1"/>
  <c r="D313" i="1"/>
  <c r="E313" i="1"/>
  <c r="F313" i="1"/>
  <c r="G313" i="1"/>
  <c r="H313" i="1"/>
  <c r="I313" i="1"/>
  <c r="J313" i="1"/>
  <c r="B314" i="1"/>
  <c r="C314" i="1"/>
  <c r="A314" i="1" s="1"/>
  <c r="D314" i="1"/>
  <c r="E314" i="1"/>
  <c r="F314" i="1"/>
  <c r="G314" i="1"/>
  <c r="H314" i="1"/>
  <c r="I314" i="1"/>
  <c r="J314" i="1"/>
  <c r="B315" i="1"/>
  <c r="C315" i="1"/>
  <c r="A315" i="1" s="1"/>
  <c r="D315" i="1"/>
  <c r="E315" i="1"/>
  <c r="F315" i="1"/>
  <c r="G315" i="1"/>
  <c r="H315" i="1"/>
  <c r="I315" i="1"/>
  <c r="J315" i="1"/>
  <c r="A316" i="1"/>
  <c r="B316" i="1"/>
  <c r="C316" i="1"/>
  <c r="D316" i="1"/>
  <c r="E316" i="1"/>
  <c r="F316" i="1"/>
  <c r="G316" i="1"/>
  <c r="H316" i="1"/>
  <c r="I316" i="1"/>
  <c r="J316" i="1"/>
  <c r="A317" i="1"/>
  <c r="B317" i="1"/>
  <c r="C317" i="1"/>
  <c r="D317" i="1"/>
  <c r="E317" i="1"/>
  <c r="F317" i="1"/>
  <c r="G317" i="1"/>
  <c r="H317" i="1"/>
  <c r="I317" i="1"/>
  <c r="J317" i="1"/>
  <c r="B318" i="1"/>
  <c r="C318" i="1"/>
  <c r="A318" i="1" s="1"/>
  <c r="D318" i="1"/>
  <c r="E318" i="1"/>
  <c r="F318" i="1"/>
  <c r="G318" i="1"/>
  <c r="H318" i="1"/>
  <c r="I318" i="1"/>
  <c r="J318" i="1"/>
  <c r="B319" i="1"/>
  <c r="C319" i="1"/>
  <c r="A319" i="1" s="1"/>
  <c r="D319" i="1"/>
  <c r="E319" i="1"/>
  <c r="F319" i="1"/>
  <c r="G319" i="1"/>
  <c r="H319" i="1"/>
  <c r="I319" i="1"/>
  <c r="J319" i="1"/>
  <c r="A320" i="1"/>
  <c r="B320" i="1"/>
  <c r="C320" i="1"/>
  <c r="D320" i="1"/>
  <c r="E320" i="1"/>
  <c r="F320" i="1"/>
  <c r="G320" i="1"/>
  <c r="H320" i="1"/>
  <c r="I320" i="1"/>
  <c r="J320" i="1"/>
  <c r="A321" i="1"/>
  <c r="B321" i="1"/>
  <c r="C321" i="1"/>
  <c r="D321" i="1"/>
  <c r="E321" i="1"/>
  <c r="F321" i="1"/>
  <c r="G321" i="1"/>
  <c r="H321" i="1"/>
  <c r="I321" i="1"/>
  <c r="J321" i="1"/>
  <c r="B322" i="1"/>
  <c r="C322" i="1"/>
  <c r="A322" i="1" s="1"/>
  <c r="D322" i="1"/>
  <c r="E322" i="1"/>
  <c r="F322" i="1"/>
  <c r="G322" i="1"/>
  <c r="H322" i="1"/>
  <c r="I322" i="1"/>
  <c r="J322" i="1"/>
  <c r="B323" i="1"/>
  <c r="C323" i="1"/>
  <c r="A323" i="1" s="1"/>
  <c r="D323" i="1"/>
  <c r="E323" i="1"/>
  <c r="F323" i="1"/>
  <c r="G323" i="1"/>
  <c r="H323" i="1"/>
  <c r="I323" i="1"/>
  <c r="J323" i="1"/>
  <c r="A324" i="1"/>
  <c r="B324" i="1"/>
  <c r="C324" i="1"/>
  <c r="D324" i="1"/>
  <c r="E324" i="1"/>
  <c r="F324" i="1"/>
  <c r="G324" i="1"/>
  <c r="H324" i="1"/>
  <c r="I324" i="1"/>
  <c r="J324" i="1"/>
  <c r="A325" i="1"/>
  <c r="B325" i="1"/>
  <c r="C325" i="1"/>
  <c r="D325" i="1"/>
  <c r="E325" i="1"/>
  <c r="F325" i="1"/>
  <c r="G325" i="1"/>
  <c r="H325" i="1"/>
  <c r="I325" i="1"/>
  <c r="J325" i="1"/>
  <c r="B326" i="1"/>
  <c r="C326" i="1"/>
  <c r="A326" i="1" s="1"/>
  <c r="D326" i="1"/>
  <c r="E326" i="1"/>
  <c r="F326" i="1"/>
  <c r="G326" i="1"/>
  <c r="H326" i="1"/>
  <c r="I326" i="1"/>
  <c r="J326" i="1"/>
  <c r="B327" i="1"/>
  <c r="C327" i="1"/>
  <c r="A327" i="1" s="1"/>
  <c r="D327" i="1"/>
  <c r="E327" i="1"/>
  <c r="F327" i="1"/>
  <c r="G327" i="1"/>
  <c r="H327" i="1"/>
  <c r="I327" i="1"/>
  <c r="J327" i="1"/>
  <c r="A328" i="1"/>
  <c r="B328" i="1"/>
  <c r="C328" i="1"/>
  <c r="D328" i="1"/>
  <c r="E328" i="1"/>
  <c r="F328" i="1"/>
  <c r="G328" i="1"/>
  <c r="H328" i="1"/>
  <c r="I328" i="1"/>
  <c r="J328" i="1"/>
  <c r="A329" i="1"/>
  <c r="B329" i="1"/>
  <c r="C329" i="1"/>
  <c r="D329" i="1"/>
  <c r="E329" i="1"/>
  <c r="F329" i="1"/>
  <c r="G329" i="1"/>
  <c r="H329" i="1"/>
  <c r="I329" i="1"/>
  <c r="J329" i="1"/>
  <c r="B330" i="1"/>
  <c r="C330" i="1"/>
  <c r="A330" i="1" s="1"/>
  <c r="D330" i="1"/>
  <c r="E330" i="1"/>
  <c r="F330" i="1"/>
  <c r="G330" i="1"/>
  <c r="H330" i="1"/>
  <c r="I330" i="1"/>
  <c r="J330" i="1"/>
  <c r="B331" i="1"/>
  <c r="C331" i="1"/>
  <c r="A331" i="1" s="1"/>
  <c r="D331" i="1"/>
  <c r="E331" i="1"/>
  <c r="F331" i="1"/>
  <c r="G331" i="1"/>
  <c r="H331" i="1"/>
  <c r="I331" i="1"/>
  <c r="J331" i="1"/>
  <c r="A332" i="1"/>
  <c r="B332" i="1"/>
  <c r="C332" i="1"/>
  <c r="D332" i="1"/>
  <c r="E332" i="1"/>
  <c r="F332" i="1"/>
  <c r="G332" i="1"/>
  <c r="H332" i="1"/>
  <c r="I332" i="1"/>
  <c r="J332" i="1"/>
  <c r="A333" i="1"/>
  <c r="B333" i="1"/>
  <c r="C333" i="1"/>
  <c r="D333" i="1"/>
  <c r="E333" i="1"/>
  <c r="F333" i="1"/>
  <c r="H333" i="1"/>
  <c r="I333" i="1"/>
  <c r="J333" i="1"/>
  <c r="B334" i="1"/>
  <c r="C334" i="1"/>
  <c r="A334" i="1" s="1"/>
  <c r="D334" i="1"/>
  <c r="E334" i="1"/>
  <c r="F334" i="1"/>
  <c r="G334" i="1"/>
  <c r="H334" i="1"/>
  <c r="I334" i="1"/>
  <c r="J334" i="1"/>
  <c r="B335" i="1"/>
  <c r="C335" i="1"/>
  <c r="A335" i="1" s="1"/>
  <c r="D335" i="1"/>
  <c r="E335" i="1"/>
  <c r="F335" i="1"/>
  <c r="G335" i="1"/>
  <c r="H335" i="1"/>
  <c r="I335" i="1"/>
  <c r="J335" i="1"/>
  <c r="A336" i="1"/>
  <c r="B336" i="1"/>
  <c r="C336" i="1"/>
  <c r="D336" i="1"/>
  <c r="E336" i="1"/>
  <c r="F336" i="1"/>
  <c r="G336" i="1"/>
  <c r="H336" i="1"/>
  <c r="I336" i="1"/>
  <c r="J336" i="1"/>
  <c r="A337" i="1"/>
  <c r="B337" i="1"/>
  <c r="C337" i="1"/>
  <c r="D337" i="1"/>
  <c r="E337" i="1"/>
  <c r="F337" i="1"/>
  <c r="G337" i="1"/>
  <c r="H337" i="1"/>
  <c r="I337" i="1"/>
  <c r="J337" i="1"/>
  <c r="B338" i="1"/>
  <c r="C338" i="1"/>
  <c r="A338" i="1" s="1"/>
  <c r="D338" i="1"/>
  <c r="E338" i="1"/>
  <c r="F338" i="1"/>
  <c r="G338" i="1"/>
  <c r="H338" i="1"/>
  <c r="I338" i="1"/>
  <c r="J338" i="1"/>
  <c r="B339" i="1"/>
  <c r="C339" i="1"/>
  <c r="A339" i="1" s="1"/>
  <c r="D339" i="1"/>
  <c r="E339" i="1"/>
  <c r="F339" i="1"/>
  <c r="G339" i="1"/>
  <c r="H339" i="1"/>
  <c r="I339" i="1"/>
  <c r="J339" i="1"/>
  <c r="A340" i="1"/>
  <c r="B340" i="1"/>
  <c r="C340" i="1"/>
  <c r="D340" i="1"/>
  <c r="E340" i="1"/>
  <c r="F340" i="1"/>
  <c r="G340" i="1"/>
  <c r="H340" i="1"/>
  <c r="I340" i="1"/>
  <c r="J340" i="1"/>
  <c r="A341" i="1"/>
  <c r="B341" i="1"/>
  <c r="C341" i="1"/>
  <c r="D341" i="1"/>
  <c r="E341" i="1"/>
  <c r="F341" i="1"/>
  <c r="G341" i="1"/>
  <c r="H341" i="1"/>
  <c r="I341" i="1"/>
  <c r="J341" i="1"/>
  <c r="B342" i="1"/>
  <c r="C342" i="1"/>
  <c r="A342" i="1" s="1"/>
  <c r="D342" i="1"/>
  <c r="E342" i="1"/>
  <c r="F342" i="1"/>
  <c r="G342" i="1"/>
  <c r="H342" i="1"/>
  <c r="I342" i="1"/>
  <c r="J342" i="1"/>
  <c r="B343" i="1"/>
  <c r="C343" i="1"/>
  <c r="A343" i="1" s="1"/>
  <c r="D343" i="1"/>
  <c r="E343" i="1"/>
  <c r="F343" i="1"/>
  <c r="G343" i="1"/>
  <c r="H343" i="1"/>
  <c r="I343" i="1"/>
  <c r="J343" i="1"/>
  <c r="A344" i="1"/>
  <c r="B344" i="1"/>
  <c r="C344" i="1"/>
  <c r="D344" i="1"/>
  <c r="E344" i="1"/>
  <c r="F344" i="1"/>
  <c r="G344" i="1"/>
  <c r="H344" i="1"/>
  <c r="I344" i="1"/>
  <c r="J344" i="1"/>
  <c r="A345" i="1"/>
  <c r="B345" i="1"/>
  <c r="C345" i="1"/>
  <c r="D345" i="1"/>
  <c r="E345" i="1"/>
  <c r="F345" i="1"/>
  <c r="G345" i="1"/>
  <c r="H345" i="1"/>
  <c r="I345" i="1"/>
  <c r="J345" i="1"/>
  <c r="B346" i="1"/>
  <c r="C346" i="1"/>
  <c r="A346" i="1" s="1"/>
  <c r="D346" i="1"/>
  <c r="E346" i="1"/>
  <c r="F346" i="1"/>
  <c r="G346" i="1"/>
  <c r="H346" i="1"/>
  <c r="I346" i="1"/>
  <c r="J346" i="1"/>
  <c r="B347" i="1"/>
  <c r="C347" i="1"/>
  <c r="A347" i="1" s="1"/>
  <c r="D347" i="1"/>
  <c r="E347" i="1"/>
  <c r="F347" i="1"/>
  <c r="G347" i="1"/>
  <c r="H347" i="1"/>
  <c r="I347" i="1"/>
  <c r="J347" i="1"/>
  <c r="A348" i="1"/>
  <c r="B348" i="1"/>
  <c r="C348" i="1"/>
  <c r="D348" i="1"/>
  <c r="E348" i="1"/>
  <c r="F348" i="1"/>
  <c r="G348" i="1"/>
  <c r="H348" i="1"/>
  <c r="I348" i="1"/>
  <c r="J348" i="1"/>
  <c r="A349" i="1"/>
  <c r="B349" i="1"/>
  <c r="C349" i="1"/>
  <c r="D349" i="1"/>
  <c r="E349" i="1"/>
  <c r="F349" i="1"/>
  <c r="G349" i="1"/>
  <c r="H349" i="1"/>
  <c r="I349" i="1"/>
  <c r="J349" i="1"/>
  <c r="B350" i="1"/>
  <c r="C350" i="1"/>
  <c r="A350" i="1" s="1"/>
  <c r="D350" i="1"/>
  <c r="E350" i="1"/>
  <c r="F350" i="1"/>
  <c r="G350" i="1"/>
  <c r="H350" i="1"/>
  <c r="I350" i="1"/>
  <c r="J350" i="1"/>
  <c r="B351" i="1"/>
  <c r="C351" i="1"/>
  <c r="A351" i="1" s="1"/>
  <c r="D351" i="1"/>
  <c r="E351" i="1"/>
  <c r="F351" i="1"/>
  <c r="G351" i="1"/>
  <c r="H351" i="1"/>
  <c r="I351" i="1"/>
  <c r="J351" i="1"/>
  <c r="A352" i="1"/>
  <c r="B352" i="1"/>
  <c r="C352" i="1"/>
  <c r="D352" i="1"/>
  <c r="E352" i="1"/>
  <c r="F352" i="1"/>
  <c r="G352" i="1"/>
  <c r="H352" i="1"/>
  <c r="I352" i="1"/>
  <c r="J352" i="1"/>
  <c r="A353" i="1"/>
  <c r="B353" i="1"/>
  <c r="C353" i="1"/>
  <c r="D353" i="1"/>
  <c r="E353" i="1"/>
  <c r="F353" i="1"/>
  <c r="G353" i="1"/>
  <c r="H353" i="1"/>
  <c r="I353" i="1"/>
  <c r="J353" i="1"/>
  <c r="B354" i="1"/>
  <c r="C354" i="1"/>
  <c r="A354" i="1" s="1"/>
  <c r="D354" i="1"/>
  <c r="E354" i="1"/>
  <c r="F354" i="1"/>
  <c r="G354" i="1"/>
  <c r="H354" i="1"/>
  <c r="I354" i="1"/>
  <c r="J354" i="1"/>
  <c r="B355" i="1"/>
  <c r="C355" i="1"/>
  <c r="A355" i="1" s="1"/>
  <c r="D355" i="1"/>
  <c r="E355" i="1"/>
  <c r="F355" i="1"/>
  <c r="G355" i="1"/>
  <c r="H355" i="1"/>
  <c r="I355" i="1"/>
  <c r="J355" i="1"/>
  <c r="A356" i="1"/>
  <c r="B356" i="1"/>
  <c r="C356" i="1"/>
  <c r="D356" i="1"/>
  <c r="E356" i="1"/>
  <c r="F356" i="1"/>
  <c r="G356" i="1"/>
  <c r="H356" i="1"/>
  <c r="I356" i="1"/>
  <c r="J356" i="1"/>
  <c r="A357" i="1"/>
  <c r="B357" i="1"/>
  <c r="C357" i="1"/>
  <c r="D357" i="1"/>
  <c r="E357" i="1"/>
  <c r="F357" i="1"/>
  <c r="G357" i="1"/>
  <c r="H357" i="1"/>
  <c r="I357" i="1"/>
  <c r="J357" i="1"/>
  <c r="B358" i="1"/>
  <c r="C358" i="1"/>
  <c r="A358" i="1" s="1"/>
  <c r="D358" i="1"/>
  <c r="E358" i="1"/>
  <c r="F358" i="1"/>
  <c r="G358" i="1"/>
  <c r="H358" i="1"/>
  <c r="I358" i="1"/>
  <c r="J358" i="1"/>
  <c r="B359" i="1"/>
  <c r="C359" i="1"/>
  <c r="A359" i="1" s="1"/>
  <c r="D359" i="1"/>
  <c r="E359" i="1"/>
  <c r="F359" i="1"/>
  <c r="G359" i="1"/>
  <c r="H359" i="1"/>
  <c r="I359" i="1"/>
  <c r="J359" i="1"/>
  <c r="A360" i="1"/>
  <c r="B360" i="1"/>
  <c r="C360" i="1"/>
  <c r="D360" i="1"/>
  <c r="E360" i="1"/>
  <c r="F360" i="1"/>
  <c r="G360" i="1"/>
  <c r="H360" i="1"/>
  <c r="I360" i="1"/>
  <c r="J360" i="1"/>
  <c r="A361" i="1"/>
  <c r="B361" i="1"/>
  <c r="C361" i="1"/>
  <c r="D361" i="1"/>
  <c r="E361" i="1"/>
  <c r="F361" i="1"/>
  <c r="G361" i="1"/>
  <c r="H361" i="1"/>
  <c r="I361" i="1"/>
  <c r="J361" i="1"/>
  <c r="B362" i="1"/>
  <c r="C362" i="1"/>
  <c r="A362" i="1" s="1"/>
  <c r="D362" i="1"/>
  <c r="E362" i="1"/>
  <c r="F362" i="1"/>
  <c r="G362" i="1"/>
  <c r="H362" i="1"/>
  <c r="I362" i="1"/>
  <c r="J362" i="1"/>
  <c r="B363" i="1"/>
  <c r="C363" i="1"/>
  <c r="A363" i="1" s="1"/>
  <c r="D363" i="1"/>
  <c r="E363" i="1"/>
  <c r="F363" i="1"/>
  <c r="G363" i="1"/>
  <c r="H363" i="1"/>
  <c r="I363" i="1"/>
  <c r="J363" i="1"/>
  <c r="A364" i="1"/>
  <c r="B364" i="1"/>
  <c r="C364" i="1"/>
  <c r="D364" i="1"/>
  <c r="E364" i="1"/>
  <c r="F364" i="1"/>
  <c r="G364" i="1"/>
  <c r="H364" i="1"/>
  <c r="I364" i="1"/>
  <c r="J364" i="1"/>
  <c r="A365" i="1"/>
  <c r="B365" i="1"/>
  <c r="C365" i="1"/>
  <c r="D365" i="1"/>
  <c r="E365" i="1"/>
  <c r="F365" i="1"/>
  <c r="G365" i="1"/>
  <c r="H365" i="1"/>
  <c r="I365" i="1"/>
  <c r="J365" i="1"/>
  <c r="B366" i="1"/>
  <c r="C366" i="1"/>
  <c r="A366" i="1" s="1"/>
  <c r="D366" i="1"/>
  <c r="E366" i="1"/>
  <c r="F366" i="1"/>
  <c r="G366" i="1"/>
  <c r="H366" i="1"/>
  <c r="I366" i="1"/>
  <c r="J366" i="1"/>
  <c r="B367" i="1"/>
  <c r="C367" i="1"/>
  <c r="A367" i="1" s="1"/>
  <c r="D367" i="1"/>
  <c r="E367" i="1"/>
  <c r="F367" i="1"/>
  <c r="G367" i="1"/>
  <c r="H367" i="1"/>
  <c r="I367" i="1"/>
  <c r="J367" i="1"/>
  <c r="A368" i="1"/>
  <c r="B368" i="1"/>
  <c r="C368" i="1"/>
  <c r="D368" i="1"/>
  <c r="E368" i="1"/>
  <c r="F368" i="1"/>
  <c r="G368" i="1"/>
  <c r="H368" i="1"/>
  <c r="I368" i="1"/>
  <c r="J368" i="1"/>
  <c r="A369" i="1"/>
  <c r="B369" i="1"/>
  <c r="C369" i="1"/>
  <c r="D369" i="1"/>
  <c r="E369" i="1"/>
  <c r="F369" i="1"/>
  <c r="G369" i="1"/>
  <c r="H369" i="1"/>
  <c r="I369" i="1"/>
  <c r="J369" i="1"/>
  <c r="B370" i="1"/>
  <c r="C370" i="1"/>
  <c r="A370" i="1" s="1"/>
  <c r="D370" i="1"/>
  <c r="E370" i="1"/>
  <c r="F370" i="1"/>
  <c r="G370" i="1"/>
  <c r="H370" i="1"/>
  <c r="I370" i="1"/>
  <c r="J370" i="1"/>
  <c r="B371" i="1"/>
  <c r="C371" i="1"/>
  <c r="A371" i="1" s="1"/>
  <c r="D371" i="1"/>
  <c r="E371" i="1"/>
  <c r="F371" i="1"/>
  <c r="G371" i="1"/>
  <c r="H371" i="1"/>
  <c r="I371" i="1"/>
  <c r="J371" i="1"/>
  <c r="A372" i="1"/>
  <c r="B372" i="1"/>
  <c r="C372" i="1"/>
  <c r="D372" i="1"/>
  <c r="E372" i="1"/>
  <c r="F372" i="1"/>
  <c r="G372" i="1"/>
  <c r="H372" i="1"/>
  <c r="I372" i="1"/>
  <c r="J372" i="1"/>
  <c r="A373" i="1"/>
  <c r="B373" i="1"/>
  <c r="C373" i="1"/>
  <c r="D373" i="1"/>
  <c r="E373" i="1"/>
  <c r="F373" i="1"/>
  <c r="G373" i="1"/>
  <c r="H373" i="1"/>
  <c r="I373" i="1"/>
  <c r="J373" i="1"/>
  <c r="B374" i="1"/>
  <c r="C374" i="1"/>
  <c r="A374" i="1" s="1"/>
  <c r="D374" i="1"/>
  <c r="E374" i="1"/>
  <c r="F374" i="1"/>
  <c r="G374" i="1"/>
  <c r="H374" i="1"/>
  <c r="I374" i="1"/>
  <c r="J374" i="1"/>
  <c r="B375" i="1"/>
  <c r="C375" i="1"/>
  <c r="A375" i="1" s="1"/>
  <c r="D375" i="1"/>
  <c r="E375" i="1"/>
  <c r="F375" i="1"/>
  <c r="G375" i="1"/>
  <c r="H375" i="1"/>
  <c r="I375" i="1"/>
  <c r="J375" i="1"/>
  <c r="A376" i="1"/>
  <c r="B376" i="1"/>
  <c r="C376" i="1"/>
  <c r="D376" i="1"/>
  <c r="E376" i="1"/>
  <c r="F376" i="1"/>
  <c r="G376" i="1"/>
  <c r="H376" i="1"/>
  <c r="I376" i="1"/>
  <c r="J376" i="1"/>
  <c r="A377" i="1"/>
  <c r="B377" i="1"/>
  <c r="C377" i="1"/>
  <c r="D377" i="1"/>
  <c r="E377" i="1"/>
  <c r="F377" i="1"/>
  <c r="G377" i="1"/>
  <c r="H377" i="1"/>
  <c r="I377" i="1"/>
  <c r="J377" i="1"/>
  <c r="B378" i="1"/>
  <c r="C378" i="1"/>
  <c r="A378" i="1" s="1"/>
  <c r="D378" i="1"/>
  <c r="E378" i="1"/>
  <c r="F378" i="1"/>
  <c r="G378" i="1"/>
  <c r="H378" i="1"/>
  <c r="I378" i="1"/>
  <c r="J378" i="1"/>
  <c r="B379" i="1"/>
  <c r="C379" i="1"/>
  <c r="A379" i="1" s="1"/>
  <c r="D379" i="1"/>
  <c r="E379" i="1"/>
  <c r="F379" i="1"/>
  <c r="G379" i="1"/>
  <c r="H379" i="1"/>
  <c r="I379" i="1"/>
  <c r="J379" i="1"/>
  <c r="A380" i="1"/>
  <c r="B380" i="1"/>
  <c r="C380" i="1"/>
  <c r="D380" i="1"/>
  <c r="E380" i="1"/>
  <c r="F380" i="1"/>
  <c r="G380" i="1"/>
  <c r="H380" i="1"/>
  <c r="I380" i="1"/>
  <c r="J380" i="1"/>
  <c r="A381" i="1"/>
  <c r="B381" i="1"/>
  <c r="C381" i="1"/>
  <c r="D381" i="1"/>
  <c r="E381" i="1"/>
  <c r="F381" i="1"/>
  <c r="G381" i="1"/>
  <c r="H381" i="1"/>
  <c r="I381" i="1"/>
  <c r="J381" i="1"/>
  <c r="B382" i="1"/>
  <c r="C382" i="1"/>
  <c r="A382" i="1" s="1"/>
  <c r="D382" i="1"/>
  <c r="E382" i="1"/>
  <c r="F382" i="1"/>
  <c r="G382" i="1"/>
  <c r="H382" i="1"/>
  <c r="I382" i="1"/>
  <c r="J382" i="1"/>
  <c r="B383" i="1"/>
  <c r="C383" i="1"/>
  <c r="A383" i="1" s="1"/>
  <c r="D383" i="1"/>
  <c r="E383" i="1"/>
  <c r="F383" i="1"/>
  <c r="G383" i="1"/>
  <c r="H383" i="1"/>
  <c r="I383" i="1"/>
  <c r="J383" i="1"/>
  <c r="A384" i="1"/>
  <c r="B384" i="1"/>
  <c r="C384" i="1"/>
  <c r="D384" i="1"/>
  <c r="E384" i="1"/>
  <c r="F384" i="1"/>
  <c r="G384" i="1"/>
  <c r="H384" i="1"/>
  <c r="I384" i="1"/>
  <c r="J384" i="1"/>
  <c r="A385" i="1"/>
  <c r="B385" i="1"/>
  <c r="C385" i="1"/>
  <c r="D385" i="1"/>
  <c r="E385" i="1"/>
  <c r="F385" i="1"/>
  <c r="G385" i="1"/>
  <c r="H385" i="1"/>
  <c r="I385" i="1"/>
  <c r="J385" i="1"/>
  <c r="B386" i="1"/>
  <c r="C386" i="1"/>
  <c r="A386" i="1" s="1"/>
  <c r="D386" i="1"/>
  <c r="E386" i="1"/>
  <c r="F386" i="1"/>
  <c r="G386" i="1"/>
  <c r="H386" i="1"/>
  <c r="I386" i="1"/>
  <c r="J386" i="1"/>
  <c r="B387" i="1"/>
  <c r="C387" i="1"/>
  <c r="A387" i="1" s="1"/>
  <c r="D387" i="1"/>
  <c r="E387" i="1"/>
  <c r="F387" i="1"/>
  <c r="G387" i="1"/>
  <c r="H387" i="1"/>
  <c r="I387" i="1"/>
  <c r="J387" i="1"/>
  <c r="A388" i="1"/>
  <c r="B388" i="1"/>
  <c r="C388" i="1"/>
  <c r="D388" i="1"/>
  <c r="E388" i="1"/>
  <c r="F388" i="1"/>
  <c r="G388" i="1"/>
  <c r="H388" i="1"/>
  <c r="I388" i="1"/>
  <c r="J388" i="1"/>
  <c r="A389" i="1"/>
  <c r="B389" i="1"/>
  <c r="C389" i="1"/>
  <c r="D389" i="1"/>
  <c r="E389" i="1"/>
  <c r="F389" i="1"/>
  <c r="G389" i="1"/>
  <c r="H389" i="1"/>
  <c r="I389" i="1"/>
  <c r="J389" i="1"/>
  <c r="B390" i="1"/>
  <c r="C390" i="1"/>
  <c r="A390" i="1" s="1"/>
  <c r="D390" i="1"/>
  <c r="E390" i="1"/>
  <c r="F390" i="1"/>
  <c r="G390" i="1"/>
  <c r="H390" i="1"/>
  <c r="I390" i="1"/>
  <c r="J390" i="1"/>
  <c r="B391" i="1"/>
  <c r="C391" i="1"/>
  <c r="A391" i="1" s="1"/>
  <c r="D391" i="1"/>
  <c r="E391" i="1"/>
  <c r="F391" i="1"/>
  <c r="G391" i="1"/>
  <c r="H391" i="1"/>
  <c r="I391" i="1"/>
  <c r="J391" i="1"/>
  <c r="A392" i="1"/>
  <c r="B392" i="1"/>
  <c r="C392" i="1"/>
  <c r="D392" i="1"/>
  <c r="E392" i="1"/>
  <c r="F392" i="1"/>
  <c r="G392" i="1"/>
  <c r="H392" i="1"/>
  <c r="I392" i="1"/>
  <c r="J392" i="1"/>
  <c r="A393" i="1"/>
  <c r="B393" i="1"/>
  <c r="C393" i="1"/>
  <c r="D393" i="1"/>
  <c r="E393" i="1"/>
  <c r="F393" i="1"/>
  <c r="G393" i="1"/>
  <c r="H393" i="1"/>
  <c r="I393" i="1"/>
  <c r="J393" i="1"/>
  <c r="B394" i="1"/>
  <c r="C394" i="1"/>
  <c r="A394" i="1" s="1"/>
  <c r="D394" i="1"/>
  <c r="E394" i="1"/>
  <c r="F394" i="1"/>
  <c r="G394" i="1"/>
  <c r="H394" i="1"/>
  <c r="I394" i="1"/>
  <c r="J394" i="1"/>
  <c r="B395" i="1"/>
  <c r="C395" i="1"/>
  <c r="A395" i="1" s="1"/>
  <c r="D395" i="1"/>
  <c r="E395" i="1"/>
  <c r="F395" i="1"/>
  <c r="G395" i="1"/>
  <c r="H395" i="1"/>
  <c r="I395" i="1"/>
  <c r="J395" i="1"/>
  <c r="A396" i="1"/>
  <c r="B396" i="1"/>
  <c r="C396" i="1"/>
  <c r="D396" i="1"/>
  <c r="E396" i="1"/>
  <c r="F396" i="1"/>
  <c r="G396" i="1"/>
  <c r="H396" i="1"/>
  <c r="I396" i="1"/>
  <c r="J396" i="1"/>
  <c r="A397" i="1"/>
  <c r="B397" i="1"/>
  <c r="C397" i="1"/>
  <c r="D397" i="1"/>
  <c r="E397" i="1"/>
  <c r="F397" i="1"/>
  <c r="G397" i="1"/>
  <c r="H397" i="1"/>
  <c r="I397" i="1"/>
  <c r="J397" i="1"/>
  <c r="B398" i="1"/>
  <c r="C398" i="1"/>
  <c r="A398" i="1" s="1"/>
  <c r="D398" i="1"/>
  <c r="E398" i="1"/>
  <c r="F398" i="1"/>
  <c r="G398" i="1"/>
  <c r="H398" i="1"/>
  <c r="I398" i="1"/>
  <c r="J398" i="1"/>
  <c r="B399" i="1"/>
  <c r="C399" i="1"/>
  <c r="A399" i="1" s="1"/>
  <c r="D399" i="1"/>
  <c r="E399" i="1"/>
  <c r="F399" i="1"/>
  <c r="G399" i="1"/>
  <c r="H399" i="1"/>
  <c r="I399" i="1"/>
  <c r="J399" i="1"/>
  <c r="A400" i="1"/>
  <c r="B400" i="1"/>
  <c r="C400" i="1"/>
  <c r="D400" i="1"/>
  <c r="E400" i="1"/>
  <c r="F400" i="1"/>
  <c r="G400" i="1"/>
  <c r="H400" i="1"/>
  <c r="I400" i="1"/>
  <c r="J400" i="1"/>
  <c r="L345" i="2"/>
  <c r="M345" i="2" s="1"/>
  <c r="O345" i="2"/>
  <c r="L201" i="2"/>
  <c r="M201" i="2"/>
  <c r="O201" i="2"/>
  <c r="P201" i="2" s="1"/>
  <c r="L202" i="2"/>
  <c r="M202" i="2" s="1"/>
  <c r="L203" i="2"/>
  <c r="M203" i="2" s="1"/>
  <c r="L204" i="2"/>
  <c r="M204" i="2"/>
  <c r="O204" i="2"/>
  <c r="P204" i="2"/>
  <c r="L205" i="2"/>
  <c r="O205" i="2" s="1"/>
  <c r="M205" i="2"/>
  <c r="L206" i="2"/>
  <c r="M206" i="2"/>
  <c r="O206" i="2"/>
  <c r="P206" i="2" s="1"/>
  <c r="L207" i="2"/>
  <c r="M207" i="2" s="1"/>
  <c r="O207" i="2"/>
  <c r="P207" i="2" s="1"/>
  <c r="L208" i="2"/>
  <c r="M208" i="2"/>
  <c r="O208" i="2"/>
  <c r="P208" i="2"/>
  <c r="L209" i="2"/>
  <c r="M209" i="2"/>
  <c r="O209" i="2"/>
  <c r="P209" i="2" s="1"/>
  <c r="L210" i="2"/>
  <c r="M210" i="2" s="1"/>
  <c r="L211" i="2"/>
  <c r="M211" i="2" s="1"/>
  <c r="L212" i="2"/>
  <c r="O212" i="2" s="1"/>
  <c r="M212" i="2"/>
  <c r="L213" i="2"/>
  <c r="M213" i="2"/>
  <c r="O213" i="2"/>
  <c r="P213" i="2" s="1"/>
  <c r="L214" i="2"/>
  <c r="M214" i="2" s="1"/>
  <c r="O214" i="2"/>
  <c r="P214" i="2" s="1"/>
  <c r="L215" i="2"/>
  <c r="M215" i="2"/>
  <c r="O215" i="2"/>
  <c r="P215" i="2" s="1"/>
  <c r="L216" i="2"/>
  <c r="M216" i="2"/>
  <c r="O216" i="2"/>
  <c r="P216" i="2"/>
  <c r="L217" i="2"/>
  <c r="M217" i="2"/>
  <c r="O217" i="2"/>
  <c r="P217" i="2" s="1"/>
  <c r="L218" i="2"/>
  <c r="M218" i="2" s="1"/>
  <c r="L219" i="2"/>
  <c r="M219" i="2" s="1"/>
  <c r="L220" i="2"/>
  <c r="M220" i="2"/>
  <c r="O220" i="2"/>
  <c r="P220" i="2"/>
  <c r="L221" i="2"/>
  <c r="O221" i="2" s="1"/>
  <c r="P221" i="2" s="1"/>
  <c r="M221" i="2"/>
  <c r="L222" i="2"/>
  <c r="M222" i="2"/>
  <c r="O222" i="2"/>
  <c r="P222" i="2" s="1"/>
  <c r="L223" i="2"/>
  <c r="M223" i="2" s="1"/>
  <c r="O223" i="2"/>
  <c r="P223" i="2" s="1"/>
  <c r="L224" i="2"/>
  <c r="M224" i="2" s="1"/>
  <c r="O224" i="2"/>
  <c r="P224" i="2"/>
  <c r="L225" i="2"/>
  <c r="M225" i="2"/>
  <c r="O225" i="2"/>
  <c r="P225" i="2" s="1"/>
  <c r="L226" i="2"/>
  <c r="M226" i="2" s="1"/>
  <c r="L227" i="2"/>
  <c r="M227" i="2" s="1"/>
  <c r="L228" i="2"/>
  <c r="O228" i="2" s="1"/>
  <c r="P228" i="2" s="1"/>
  <c r="M228" i="2"/>
  <c r="L229" i="2"/>
  <c r="M229" i="2"/>
  <c r="O229" i="2"/>
  <c r="P229" i="2" s="1"/>
  <c r="L230" i="2"/>
  <c r="M230" i="2" s="1"/>
  <c r="O230" i="2"/>
  <c r="P230" i="2" s="1"/>
  <c r="L231" i="2"/>
  <c r="M231" i="2"/>
  <c r="O231" i="2"/>
  <c r="P231" i="2" s="1"/>
  <c r="L232" i="2"/>
  <c r="M232" i="2"/>
  <c r="O232" i="2"/>
  <c r="P232" i="2"/>
  <c r="L233" i="2"/>
  <c r="M233" i="2" s="1"/>
  <c r="O233" i="2"/>
  <c r="P233" i="2" s="1"/>
  <c r="L234" i="2"/>
  <c r="M234" i="2" s="1"/>
  <c r="L235" i="2"/>
  <c r="M235" i="2" s="1"/>
  <c r="L236" i="2"/>
  <c r="M236" i="2"/>
  <c r="O236" i="2"/>
  <c r="P236" i="2"/>
  <c r="L237" i="2"/>
  <c r="O237" i="2" s="1"/>
  <c r="P237" i="2" s="1"/>
  <c r="M237" i="2"/>
  <c r="L238" i="2"/>
  <c r="M238" i="2"/>
  <c r="O238" i="2"/>
  <c r="P238" i="2" s="1"/>
  <c r="L239" i="2"/>
  <c r="M239" i="2" s="1"/>
  <c r="O239" i="2"/>
  <c r="P239" i="2" s="1"/>
  <c r="L240" i="2"/>
  <c r="M240" i="2" s="1"/>
  <c r="O240" i="2"/>
  <c r="P240" i="2"/>
  <c r="L241" i="2"/>
  <c r="M241" i="2"/>
  <c r="O241" i="2"/>
  <c r="P241" i="2" s="1"/>
  <c r="L242" i="2"/>
  <c r="M242" i="2" s="1"/>
  <c r="L243" i="2"/>
  <c r="M243" i="2" s="1"/>
  <c r="L244" i="2"/>
  <c r="O244" i="2" s="1"/>
  <c r="P244" i="2" s="1"/>
  <c r="M244" i="2"/>
  <c r="L245" i="2"/>
  <c r="M245" i="2"/>
  <c r="O245" i="2"/>
  <c r="P245" i="2" s="1"/>
  <c r="L246" i="2"/>
  <c r="M246" i="2" s="1"/>
  <c r="O246" i="2"/>
  <c r="P246" i="2" s="1"/>
  <c r="L247" i="2"/>
  <c r="M247" i="2"/>
  <c r="O247" i="2"/>
  <c r="P247" i="2" s="1"/>
  <c r="L248" i="2"/>
  <c r="M248" i="2"/>
  <c r="O248" i="2"/>
  <c r="P248" i="2"/>
  <c r="L249" i="2"/>
  <c r="M249" i="2" s="1"/>
  <c r="O249" i="2"/>
  <c r="P249" i="2" s="1"/>
  <c r="L250" i="2"/>
  <c r="M250" i="2" s="1"/>
  <c r="L251" i="2"/>
  <c r="M251" i="2" s="1"/>
  <c r="L252" i="2"/>
  <c r="M252" i="2"/>
  <c r="O252" i="2"/>
  <c r="P252" i="2"/>
  <c r="L253" i="2"/>
  <c r="O253" i="2" s="1"/>
  <c r="P253" i="2" s="1"/>
  <c r="M253" i="2"/>
  <c r="L254" i="2"/>
  <c r="M254" i="2"/>
  <c r="O254" i="2"/>
  <c r="P254" i="2" s="1"/>
  <c r="L255" i="2"/>
  <c r="M255" i="2" s="1"/>
  <c r="O255" i="2"/>
  <c r="P255" i="2" s="1"/>
  <c r="L256" i="2"/>
  <c r="M256" i="2" s="1"/>
  <c r="O256" i="2"/>
  <c r="P256" i="2"/>
  <c r="L257" i="2"/>
  <c r="M257" i="2"/>
  <c r="O257" i="2"/>
  <c r="P257" i="2" s="1"/>
  <c r="L258" i="2"/>
  <c r="M258" i="2" s="1"/>
  <c r="L259" i="2"/>
  <c r="M259" i="2"/>
  <c r="O259" i="2"/>
  <c r="P259" i="2"/>
  <c r="L260" i="2"/>
  <c r="O260" i="2" s="1"/>
  <c r="P260" i="2" s="1"/>
  <c r="M260" i="2"/>
  <c r="L261" i="2"/>
  <c r="M261" i="2"/>
  <c r="O261" i="2"/>
  <c r="P261" i="2" s="1"/>
  <c r="L262" i="2"/>
  <c r="M262" i="2"/>
  <c r="O262" i="2"/>
  <c r="P262" i="2"/>
  <c r="L263" i="2"/>
  <c r="M263" i="2" s="1"/>
  <c r="O263" i="2"/>
  <c r="P263" i="2" s="1"/>
  <c r="L264" i="2"/>
  <c r="M264" i="2" s="1"/>
  <c r="L265" i="2"/>
  <c r="O265" i="2" s="1"/>
  <c r="P265" i="2" s="1"/>
  <c r="M265" i="2"/>
  <c r="L266" i="2"/>
  <c r="M266" i="2"/>
  <c r="O266" i="2"/>
  <c r="P266" i="2" s="1"/>
  <c r="L267" i="2"/>
  <c r="M267" i="2"/>
  <c r="O267" i="2"/>
  <c r="P267" i="2" s="1"/>
  <c r="L268" i="2"/>
  <c r="M268" i="2" s="1"/>
  <c r="L269" i="2"/>
  <c r="M269" i="2" s="1"/>
  <c r="L270" i="2"/>
  <c r="O270" i="2" s="1"/>
  <c r="P270" i="2" s="1"/>
  <c r="M270" i="2"/>
  <c r="L271" i="2"/>
  <c r="M271" i="2"/>
  <c r="O271" i="2"/>
  <c r="P271" i="2" s="1"/>
  <c r="L272" i="2"/>
  <c r="M272" i="2" s="1"/>
  <c r="O272" i="2"/>
  <c r="P272" i="2" s="1"/>
  <c r="L273" i="2"/>
  <c r="M273" i="2" s="1"/>
  <c r="O273" i="2"/>
  <c r="P273" i="2" s="1"/>
  <c r="L274" i="2"/>
  <c r="M274" i="2" s="1"/>
  <c r="L275" i="2"/>
  <c r="M275" i="2" s="1"/>
  <c r="L276" i="2"/>
  <c r="M276" i="2"/>
  <c r="O276" i="2"/>
  <c r="P276" i="2" s="1"/>
  <c r="L277" i="2"/>
  <c r="M277" i="2" s="1"/>
  <c r="O277" i="2"/>
  <c r="P277" i="2" s="1"/>
  <c r="L278" i="2"/>
  <c r="M278" i="2" s="1"/>
  <c r="O278" i="2"/>
  <c r="P278" i="2"/>
  <c r="L279" i="2"/>
  <c r="M279" i="2"/>
  <c r="O279" i="2"/>
  <c r="P279" i="2" s="1"/>
  <c r="L280" i="2"/>
  <c r="M280" i="2" s="1"/>
  <c r="L281" i="2"/>
  <c r="M281" i="2"/>
  <c r="O281" i="2"/>
  <c r="P281" i="2" s="1"/>
  <c r="L282" i="2"/>
  <c r="M282" i="2" s="1"/>
  <c r="O282" i="2"/>
  <c r="P282" i="2" s="1"/>
  <c r="L283" i="2"/>
  <c r="M283" i="2" s="1"/>
  <c r="O283" i="2"/>
  <c r="P283" i="2" s="1"/>
  <c r="L284" i="2"/>
  <c r="M284" i="2" s="1"/>
  <c r="L285" i="2"/>
  <c r="M285" i="2" s="1"/>
  <c r="L286" i="2"/>
  <c r="M286" i="2"/>
  <c r="O286" i="2"/>
  <c r="P286" i="2"/>
  <c r="L287" i="2"/>
  <c r="O287" i="2" s="1"/>
  <c r="P287" i="2" s="1"/>
  <c r="M287" i="2"/>
  <c r="L288" i="2"/>
  <c r="M288" i="2"/>
  <c r="O288" i="2"/>
  <c r="P288" i="2" s="1"/>
  <c r="L289" i="2"/>
  <c r="M289" i="2"/>
  <c r="O289" i="2"/>
  <c r="P289" i="2" s="1"/>
  <c r="L290" i="2"/>
  <c r="M290" i="2" s="1"/>
  <c r="L291" i="2"/>
  <c r="M291" i="2" s="1"/>
  <c r="L292" i="2"/>
  <c r="O292" i="2" s="1"/>
  <c r="P292" i="2" s="1"/>
  <c r="M292" i="2"/>
  <c r="L293" i="2"/>
  <c r="M293" i="2"/>
  <c r="O293" i="2"/>
  <c r="P293" i="2" s="1"/>
  <c r="L294" i="2"/>
  <c r="M294" i="2"/>
  <c r="O294" i="2"/>
  <c r="P294" i="2"/>
  <c r="L295" i="2"/>
  <c r="M295" i="2" s="1"/>
  <c r="O295" i="2"/>
  <c r="P295" i="2" s="1"/>
  <c r="L296" i="2"/>
  <c r="M296" i="2" s="1"/>
  <c r="L297" i="2"/>
  <c r="O297" i="2" s="1"/>
  <c r="P297" i="2" s="1"/>
  <c r="M297" i="2"/>
  <c r="L298" i="2"/>
  <c r="M298" i="2"/>
  <c r="O298" i="2"/>
  <c r="P298" i="2" s="1"/>
  <c r="L299" i="2"/>
  <c r="M299" i="2"/>
  <c r="O299" i="2"/>
  <c r="P299" i="2" s="1"/>
  <c r="L300" i="2"/>
  <c r="M300" i="2" s="1"/>
  <c r="L301" i="2"/>
  <c r="M301" i="2" s="1"/>
  <c r="L302" i="2"/>
  <c r="O302" i="2" s="1"/>
  <c r="P302" i="2" s="1"/>
  <c r="M302" i="2"/>
  <c r="L303" i="2"/>
  <c r="M303" i="2"/>
  <c r="O303" i="2"/>
  <c r="P303" i="2" s="1"/>
  <c r="L304" i="2"/>
  <c r="M304" i="2" s="1"/>
  <c r="O304" i="2"/>
  <c r="P304" i="2" s="1"/>
  <c r="L305" i="2"/>
  <c r="M305" i="2" s="1"/>
  <c r="O305" i="2"/>
  <c r="P305" i="2" s="1"/>
  <c r="L306" i="2"/>
  <c r="M306" i="2" s="1"/>
  <c r="L307" i="2"/>
  <c r="M307" i="2" s="1"/>
  <c r="L308" i="2"/>
  <c r="M308" i="2"/>
  <c r="O308" i="2"/>
  <c r="P308" i="2" s="1"/>
  <c r="L309" i="2"/>
  <c r="M309" i="2" s="1"/>
  <c r="O309" i="2"/>
  <c r="P309" i="2" s="1"/>
  <c r="L310" i="2"/>
  <c r="M310" i="2" s="1"/>
  <c r="O310" i="2"/>
  <c r="P310" i="2"/>
  <c r="L311" i="2"/>
  <c r="M311" i="2"/>
  <c r="O311" i="2"/>
  <c r="P311" i="2" s="1"/>
  <c r="L312" i="2"/>
  <c r="M312" i="2" s="1"/>
  <c r="L313" i="2"/>
  <c r="M313" i="2"/>
  <c r="O313" i="2"/>
  <c r="P313" i="2" s="1"/>
  <c r="L314" i="2"/>
  <c r="M314" i="2" s="1"/>
  <c r="O314" i="2"/>
  <c r="P314" i="2" s="1"/>
  <c r="L315" i="2"/>
  <c r="M315" i="2" s="1"/>
  <c r="O315" i="2"/>
  <c r="P315" i="2" s="1"/>
  <c r="L316" i="2"/>
  <c r="M316" i="2" s="1"/>
  <c r="L317" i="2"/>
  <c r="M317" i="2" s="1"/>
  <c r="L318" i="2"/>
  <c r="M318" i="2"/>
  <c r="O318" i="2"/>
  <c r="P318" i="2"/>
  <c r="L319" i="2"/>
  <c r="O319" i="2" s="1"/>
  <c r="P319" i="2" s="1"/>
  <c r="M319" i="2"/>
  <c r="L320" i="2"/>
  <c r="M320" i="2"/>
  <c r="O320" i="2"/>
  <c r="P320" i="2" s="1"/>
  <c r="L321" i="2"/>
  <c r="M321" i="2"/>
  <c r="O321" i="2"/>
  <c r="P321" i="2" s="1"/>
  <c r="L322" i="2"/>
  <c r="M322" i="2" s="1"/>
  <c r="L323" i="2"/>
  <c r="M323" i="2" s="1"/>
  <c r="L324" i="2"/>
  <c r="O324" i="2" s="1"/>
  <c r="P324" i="2" s="1"/>
  <c r="M324" i="2"/>
  <c r="L325" i="2"/>
  <c r="M325" i="2"/>
  <c r="O325" i="2"/>
  <c r="P325" i="2" s="1"/>
  <c r="L326" i="2"/>
  <c r="M326" i="2"/>
  <c r="O326" i="2"/>
  <c r="P326" i="2"/>
  <c r="L327" i="2"/>
  <c r="M327" i="2" s="1"/>
  <c r="O327" i="2"/>
  <c r="P327" i="2" s="1"/>
  <c r="L328" i="2"/>
  <c r="M328" i="2" s="1"/>
  <c r="L329" i="2"/>
  <c r="O329" i="2" s="1"/>
  <c r="P329" i="2" s="1"/>
  <c r="M329" i="2"/>
  <c r="L330" i="2"/>
  <c r="M330" i="2"/>
  <c r="O330" i="2"/>
  <c r="P330" i="2" s="1"/>
  <c r="L331" i="2"/>
  <c r="M331" i="2"/>
  <c r="O331" i="2"/>
  <c r="P331" i="2" s="1"/>
  <c r="L332" i="2"/>
  <c r="M332" i="2" s="1"/>
  <c r="L333" i="2"/>
  <c r="M333" i="2" s="1"/>
  <c r="L334" i="2"/>
  <c r="O334" i="2" s="1"/>
  <c r="P334" i="2" s="1"/>
  <c r="M334" i="2"/>
  <c r="L335" i="2"/>
  <c r="M335" i="2"/>
  <c r="O335" i="2"/>
  <c r="P335" i="2" s="1"/>
  <c r="L336" i="2"/>
  <c r="M336" i="2" s="1"/>
  <c r="O336" i="2"/>
  <c r="P336" i="2" s="1"/>
  <c r="L337" i="2"/>
  <c r="M337" i="2" s="1"/>
  <c r="O337" i="2"/>
  <c r="P337" i="2" s="1"/>
  <c r="L338" i="2"/>
  <c r="M338" i="2" s="1"/>
  <c r="L339" i="2"/>
  <c r="M339" i="2" s="1"/>
  <c r="L340" i="2"/>
  <c r="M340" i="2"/>
  <c r="O340" i="2"/>
  <c r="P340" i="2" s="1"/>
  <c r="L341" i="2"/>
  <c r="M341" i="2" s="1"/>
  <c r="O341" i="2"/>
  <c r="P341" i="2" s="1"/>
  <c r="L342" i="2"/>
  <c r="M342" i="2" s="1"/>
  <c r="O342" i="2"/>
  <c r="P342" i="2"/>
  <c r="L343" i="2"/>
  <c r="M343" i="2"/>
  <c r="O343" i="2"/>
  <c r="P343" i="2" s="1"/>
  <c r="L344" i="2"/>
  <c r="M344" i="2" s="1"/>
  <c r="L346" i="2"/>
  <c r="M346" i="2" s="1"/>
  <c r="O346" i="2"/>
  <c r="P346" i="2" s="1"/>
  <c r="L347" i="2"/>
  <c r="M347" i="2" s="1"/>
  <c r="L348" i="2"/>
  <c r="M348" i="2" s="1"/>
  <c r="L349" i="2"/>
  <c r="M349" i="2" s="1"/>
  <c r="L350" i="2"/>
  <c r="M350" i="2"/>
  <c r="O350" i="2"/>
  <c r="P350" i="2"/>
  <c r="A51" i="1"/>
  <c r="A52" i="1"/>
  <c r="A53" i="1"/>
  <c r="A57" i="1"/>
  <c r="A59" i="1"/>
  <c r="A60" i="1"/>
  <c r="A61" i="1"/>
  <c r="A65" i="1"/>
  <c r="A67" i="1"/>
  <c r="A68" i="1"/>
  <c r="A69" i="1"/>
  <c r="A73" i="1"/>
  <c r="A75" i="1"/>
  <c r="A76" i="1"/>
  <c r="A77" i="1"/>
  <c r="A81" i="1"/>
  <c r="A83" i="1"/>
  <c r="A84" i="1"/>
  <c r="A85" i="1"/>
  <c r="A89" i="1"/>
  <c r="A91" i="1"/>
  <c r="A92" i="1"/>
  <c r="A93" i="1"/>
  <c r="A97" i="1"/>
  <c r="A99" i="1"/>
  <c r="A100" i="1"/>
  <c r="A101" i="1"/>
  <c r="A105" i="1"/>
  <c r="A107" i="1"/>
  <c r="A108" i="1"/>
  <c r="A109" i="1"/>
  <c r="A113" i="1"/>
  <c r="A115" i="1"/>
  <c r="A116" i="1"/>
  <c r="A117" i="1"/>
  <c r="A121" i="1"/>
  <c r="A123" i="1"/>
  <c r="A124" i="1"/>
  <c r="A125" i="1"/>
  <c r="A129" i="1"/>
  <c r="A131" i="1"/>
  <c r="A132" i="1"/>
  <c r="A133" i="1"/>
  <c r="A137" i="1"/>
  <c r="A139" i="1"/>
  <c r="A140" i="1"/>
  <c r="A141" i="1"/>
  <c r="A145" i="1"/>
  <c r="A147" i="1"/>
  <c r="A148" i="1"/>
  <c r="A149" i="1"/>
  <c r="A153" i="1"/>
  <c r="A155" i="1"/>
  <c r="A156" i="1"/>
  <c r="A157" i="1"/>
  <c r="A161" i="1"/>
  <c r="A163" i="1"/>
  <c r="A164" i="1"/>
  <c r="A165" i="1"/>
  <c r="A169" i="1"/>
  <c r="A171" i="1"/>
  <c r="A172" i="1"/>
  <c r="A173" i="1"/>
  <c r="A177" i="1"/>
  <c r="A179" i="1"/>
  <c r="A180" i="1"/>
  <c r="A181" i="1"/>
  <c r="A185" i="1"/>
  <c r="B137" i="1"/>
  <c r="C137" i="1"/>
  <c r="D137" i="1"/>
  <c r="E137" i="1"/>
  <c r="F137" i="1"/>
  <c r="H137" i="1"/>
  <c r="I137" i="1"/>
  <c r="J137" i="1"/>
  <c r="B138" i="1"/>
  <c r="C138" i="1"/>
  <c r="A138" i="1" s="1"/>
  <c r="D138" i="1"/>
  <c r="E138" i="1"/>
  <c r="F138" i="1"/>
  <c r="H138" i="1"/>
  <c r="I138" i="1"/>
  <c r="J138" i="1"/>
  <c r="B139" i="1"/>
  <c r="C139" i="1"/>
  <c r="D139" i="1"/>
  <c r="E139" i="1"/>
  <c r="F139" i="1"/>
  <c r="H139" i="1"/>
  <c r="I139" i="1"/>
  <c r="J139" i="1"/>
  <c r="B140" i="1"/>
  <c r="C140" i="1"/>
  <c r="D140" i="1"/>
  <c r="E140" i="1"/>
  <c r="F140" i="1"/>
  <c r="H140" i="1"/>
  <c r="I140" i="1"/>
  <c r="J140" i="1"/>
  <c r="B141" i="1"/>
  <c r="C141" i="1"/>
  <c r="D141" i="1"/>
  <c r="E141" i="1"/>
  <c r="F141" i="1"/>
  <c r="H141" i="1"/>
  <c r="I141" i="1"/>
  <c r="J141" i="1"/>
  <c r="B142" i="1"/>
  <c r="C142" i="1"/>
  <c r="A142" i="1" s="1"/>
  <c r="D142" i="1"/>
  <c r="E142" i="1"/>
  <c r="F142" i="1"/>
  <c r="H142" i="1"/>
  <c r="I142" i="1"/>
  <c r="J142" i="1"/>
  <c r="B143" i="1"/>
  <c r="C143" i="1"/>
  <c r="A143" i="1" s="1"/>
  <c r="D143" i="1"/>
  <c r="E143" i="1"/>
  <c r="F143" i="1"/>
  <c r="H143" i="1"/>
  <c r="I143" i="1"/>
  <c r="J143" i="1"/>
  <c r="B144" i="1"/>
  <c r="C144" i="1"/>
  <c r="A144" i="1" s="1"/>
  <c r="D144" i="1"/>
  <c r="E144" i="1"/>
  <c r="F144" i="1"/>
  <c r="H144" i="1"/>
  <c r="I144" i="1"/>
  <c r="J144" i="1"/>
  <c r="B145" i="1"/>
  <c r="C145" i="1"/>
  <c r="D145" i="1"/>
  <c r="E145" i="1"/>
  <c r="F145" i="1"/>
  <c r="H145" i="1"/>
  <c r="I145" i="1"/>
  <c r="J145" i="1"/>
  <c r="B146" i="1"/>
  <c r="C146" i="1"/>
  <c r="A146" i="1" s="1"/>
  <c r="D146" i="1"/>
  <c r="E146" i="1"/>
  <c r="F146" i="1"/>
  <c r="H146" i="1"/>
  <c r="I146" i="1"/>
  <c r="J146" i="1"/>
  <c r="B147" i="1"/>
  <c r="C147" i="1"/>
  <c r="D147" i="1"/>
  <c r="E147" i="1"/>
  <c r="F147" i="1"/>
  <c r="H147" i="1"/>
  <c r="I147" i="1"/>
  <c r="J147" i="1"/>
  <c r="B148" i="1"/>
  <c r="C148" i="1"/>
  <c r="D148" i="1"/>
  <c r="E148" i="1"/>
  <c r="F148" i="1"/>
  <c r="H148" i="1"/>
  <c r="I148" i="1"/>
  <c r="J148" i="1"/>
  <c r="B149" i="1"/>
  <c r="C149" i="1"/>
  <c r="D149" i="1"/>
  <c r="E149" i="1"/>
  <c r="F149" i="1"/>
  <c r="H149" i="1"/>
  <c r="I149" i="1"/>
  <c r="J149" i="1"/>
  <c r="B150" i="1"/>
  <c r="C150" i="1"/>
  <c r="A150" i="1" s="1"/>
  <c r="D150" i="1"/>
  <c r="E150" i="1"/>
  <c r="F150" i="1"/>
  <c r="H150" i="1"/>
  <c r="I150" i="1"/>
  <c r="J150" i="1"/>
  <c r="B151" i="1"/>
  <c r="C151" i="1"/>
  <c r="A151" i="1" s="1"/>
  <c r="D151" i="1"/>
  <c r="E151" i="1"/>
  <c r="F151" i="1"/>
  <c r="H151" i="1"/>
  <c r="I151" i="1"/>
  <c r="J151" i="1"/>
  <c r="B152" i="1"/>
  <c r="C152" i="1"/>
  <c r="A152" i="1" s="1"/>
  <c r="D152" i="1"/>
  <c r="E152" i="1"/>
  <c r="F152" i="1"/>
  <c r="H152" i="1"/>
  <c r="I152" i="1"/>
  <c r="J152" i="1"/>
  <c r="B153" i="1"/>
  <c r="C153" i="1"/>
  <c r="D153" i="1"/>
  <c r="E153" i="1"/>
  <c r="F153" i="1"/>
  <c r="H153" i="1"/>
  <c r="I153" i="1"/>
  <c r="J153" i="1"/>
  <c r="B154" i="1"/>
  <c r="C154" i="1"/>
  <c r="A154" i="1" s="1"/>
  <c r="D154" i="1"/>
  <c r="E154" i="1"/>
  <c r="F154" i="1"/>
  <c r="H154" i="1"/>
  <c r="I154" i="1"/>
  <c r="J154" i="1"/>
  <c r="B155" i="1"/>
  <c r="C155" i="1"/>
  <c r="D155" i="1"/>
  <c r="E155" i="1"/>
  <c r="F155" i="1"/>
  <c r="H155" i="1"/>
  <c r="I155" i="1"/>
  <c r="J155" i="1"/>
  <c r="B156" i="1"/>
  <c r="C156" i="1"/>
  <c r="D156" i="1"/>
  <c r="E156" i="1"/>
  <c r="F156" i="1"/>
  <c r="H156" i="1"/>
  <c r="I156" i="1"/>
  <c r="J156" i="1"/>
  <c r="B157" i="1"/>
  <c r="C157" i="1"/>
  <c r="D157" i="1"/>
  <c r="E157" i="1"/>
  <c r="F157" i="1"/>
  <c r="H157" i="1"/>
  <c r="I157" i="1"/>
  <c r="J157" i="1"/>
  <c r="B158" i="1"/>
  <c r="C158" i="1"/>
  <c r="A158" i="1" s="1"/>
  <c r="D158" i="1"/>
  <c r="E158" i="1"/>
  <c r="F158" i="1"/>
  <c r="H158" i="1"/>
  <c r="I158" i="1"/>
  <c r="J158" i="1"/>
  <c r="B159" i="1"/>
  <c r="C159" i="1"/>
  <c r="A159" i="1" s="1"/>
  <c r="D159" i="1"/>
  <c r="E159" i="1"/>
  <c r="F159" i="1"/>
  <c r="H159" i="1"/>
  <c r="I159" i="1"/>
  <c r="J159" i="1"/>
  <c r="B160" i="1"/>
  <c r="C160" i="1"/>
  <c r="A160" i="1" s="1"/>
  <c r="D160" i="1"/>
  <c r="E160" i="1"/>
  <c r="F160" i="1"/>
  <c r="H160" i="1"/>
  <c r="I160" i="1"/>
  <c r="J160" i="1"/>
  <c r="B161" i="1"/>
  <c r="C161" i="1"/>
  <c r="D161" i="1"/>
  <c r="E161" i="1"/>
  <c r="F161" i="1"/>
  <c r="H161" i="1"/>
  <c r="I161" i="1"/>
  <c r="J161" i="1"/>
  <c r="B162" i="1"/>
  <c r="C162" i="1"/>
  <c r="A162" i="1" s="1"/>
  <c r="D162" i="1"/>
  <c r="E162" i="1"/>
  <c r="F162" i="1"/>
  <c r="H162" i="1"/>
  <c r="I162" i="1"/>
  <c r="J162" i="1"/>
  <c r="B163" i="1"/>
  <c r="C163" i="1"/>
  <c r="D163" i="1"/>
  <c r="E163" i="1"/>
  <c r="F163" i="1"/>
  <c r="H163" i="1"/>
  <c r="I163" i="1"/>
  <c r="J163" i="1"/>
  <c r="B164" i="1"/>
  <c r="C164" i="1"/>
  <c r="D164" i="1"/>
  <c r="E164" i="1"/>
  <c r="F164" i="1"/>
  <c r="H164" i="1"/>
  <c r="I164" i="1"/>
  <c r="J164" i="1"/>
  <c r="B165" i="1"/>
  <c r="C165" i="1"/>
  <c r="D165" i="1"/>
  <c r="E165" i="1"/>
  <c r="F165" i="1"/>
  <c r="H165" i="1"/>
  <c r="I165" i="1"/>
  <c r="J165" i="1"/>
  <c r="B166" i="1"/>
  <c r="C166" i="1"/>
  <c r="A166" i="1" s="1"/>
  <c r="D166" i="1"/>
  <c r="E166" i="1"/>
  <c r="F166" i="1"/>
  <c r="H166" i="1"/>
  <c r="I166" i="1"/>
  <c r="J166" i="1"/>
  <c r="B167" i="1"/>
  <c r="C167" i="1"/>
  <c r="A167" i="1" s="1"/>
  <c r="D167" i="1"/>
  <c r="E167" i="1"/>
  <c r="F167" i="1"/>
  <c r="H167" i="1"/>
  <c r="I167" i="1"/>
  <c r="J167" i="1"/>
  <c r="B168" i="1"/>
  <c r="C168" i="1"/>
  <c r="A168" i="1" s="1"/>
  <c r="D168" i="1"/>
  <c r="E168" i="1"/>
  <c r="F168" i="1"/>
  <c r="H168" i="1"/>
  <c r="I168" i="1"/>
  <c r="J168" i="1"/>
  <c r="B169" i="1"/>
  <c r="C169" i="1"/>
  <c r="D169" i="1"/>
  <c r="E169" i="1"/>
  <c r="F169" i="1"/>
  <c r="H169" i="1"/>
  <c r="I169" i="1"/>
  <c r="J169" i="1"/>
  <c r="B170" i="1"/>
  <c r="C170" i="1"/>
  <c r="A170" i="1" s="1"/>
  <c r="D170" i="1"/>
  <c r="E170" i="1"/>
  <c r="F170" i="1"/>
  <c r="H170" i="1"/>
  <c r="I170" i="1"/>
  <c r="J170" i="1"/>
  <c r="B171" i="1"/>
  <c r="C171" i="1"/>
  <c r="D171" i="1"/>
  <c r="E171" i="1"/>
  <c r="F171" i="1"/>
  <c r="H171" i="1"/>
  <c r="I171" i="1"/>
  <c r="J171" i="1"/>
  <c r="B172" i="1"/>
  <c r="C172" i="1"/>
  <c r="D172" i="1"/>
  <c r="E172" i="1"/>
  <c r="F172" i="1"/>
  <c r="H172" i="1"/>
  <c r="I172" i="1"/>
  <c r="J172" i="1"/>
  <c r="B173" i="1"/>
  <c r="C173" i="1"/>
  <c r="D173" i="1"/>
  <c r="E173" i="1"/>
  <c r="F173" i="1"/>
  <c r="H173" i="1"/>
  <c r="I173" i="1"/>
  <c r="J173" i="1"/>
  <c r="B174" i="1"/>
  <c r="C174" i="1"/>
  <c r="A174" i="1" s="1"/>
  <c r="D174" i="1"/>
  <c r="E174" i="1"/>
  <c r="F174" i="1"/>
  <c r="H174" i="1"/>
  <c r="I174" i="1"/>
  <c r="J174" i="1"/>
  <c r="B175" i="1"/>
  <c r="C175" i="1"/>
  <c r="A175" i="1" s="1"/>
  <c r="D175" i="1"/>
  <c r="E175" i="1"/>
  <c r="F175" i="1"/>
  <c r="H175" i="1"/>
  <c r="I175" i="1"/>
  <c r="J175" i="1"/>
  <c r="B176" i="1"/>
  <c r="C176" i="1"/>
  <c r="A176" i="1" s="1"/>
  <c r="D176" i="1"/>
  <c r="E176" i="1"/>
  <c r="F176" i="1"/>
  <c r="H176" i="1"/>
  <c r="I176" i="1"/>
  <c r="J176" i="1"/>
  <c r="B177" i="1"/>
  <c r="C177" i="1"/>
  <c r="D177" i="1"/>
  <c r="E177" i="1"/>
  <c r="F177" i="1"/>
  <c r="H177" i="1"/>
  <c r="I177" i="1"/>
  <c r="J177" i="1"/>
  <c r="B178" i="1"/>
  <c r="C178" i="1"/>
  <c r="A178" i="1" s="1"/>
  <c r="D178" i="1"/>
  <c r="E178" i="1"/>
  <c r="F178" i="1"/>
  <c r="H178" i="1"/>
  <c r="I178" i="1"/>
  <c r="J178" i="1"/>
  <c r="B179" i="1"/>
  <c r="C179" i="1"/>
  <c r="D179" i="1"/>
  <c r="E179" i="1"/>
  <c r="F179" i="1"/>
  <c r="H179" i="1"/>
  <c r="I179" i="1"/>
  <c r="J179" i="1"/>
  <c r="B180" i="1"/>
  <c r="C180" i="1"/>
  <c r="D180" i="1"/>
  <c r="E180" i="1"/>
  <c r="F180" i="1"/>
  <c r="H180" i="1"/>
  <c r="I180" i="1"/>
  <c r="J180" i="1"/>
  <c r="B181" i="1"/>
  <c r="C181" i="1"/>
  <c r="D181" i="1"/>
  <c r="E181" i="1"/>
  <c r="F181" i="1"/>
  <c r="H181" i="1"/>
  <c r="I181" i="1"/>
  <c r="J181" i="1"/>
  <c r="B182" i="1"/>
  <c r="C182" i="1"/>
  <c r="A182" i="1" s="1"/>
  <c r="D182" i="1"/>
  <c r="E182" i="1"/>
  <c r="F182" i="1"/>
  <c r="H182" i="1"/>
  <c r="I182" i="1"/>
  <c r="J182" i="1"/>
  <c r="B183" i="1"/>
  <c r="C183" i="1"/>
  <c r="A183" i="1" s="1"/>
  <c r="D183" i="1"/>
  <c r="E183" i="1"/>
  <c r="F183" i="1"/>
  <c r="H183" i="1"/>
  <c r="I183" i="1"/>
  <c r="J183" i="1"/>
  <c r="B184" i="1"/>
  <c r="C184" i="1"/>
  <c r="A184" i="1" s="1"/>
  <c r="D184" i="1"/>
  <c r="E184" i="1"/>
  <c r="F184" i="1"/>
  <c r="H184" i="1"/>
  <c r="I184" i="1"/>
  <c r="J184" i="1"/>
  <c r="B185" i="1"/>
  <c r="C185" i="1"/>
  <c r="D185" i="1"/>
  <c r="E185" i="1"/>
  <c r="F185" i="1"/>
  <c r="H185" i="1"/>
  <c r="I185" i="1"/>
  <c r="J185" i="1"/>
  <c r="B186" i="1"/>
  <c r="C186" i="1"/>
  <c r="A186" i="1" s="1"/>
  <c r="D186" i="1"/>
  <c r="E186" i="1"/>
  <c r="F186" i="1"/>
  <c r="H186" i="1"/>
  <c r="I186" i="1"/>
  <c r="J186" i="1"/>
  <c r="B187" i="1"/>
  <c r="C187" i="1"/>
  <c r="A187" i="1" s="1"/>
  <c r="D187" i="1"/>
  <c r="E187" i="1"/>
  <c r="F187" i="1"/>
  <c r="G187" i="1"/>
  <c r="H187" i="1"/>
  <c r="I187" i="1"/>
  <c r="J187" i="1"/>
  <c r="B188" i="1"/>
  <c r="C188" i="1"/>
  <c r="A188" i="1" s="1"/>
  <c r="D188" i="1"/>
  <c r="E188" i="1"/>
  <c r="F188" i="1"/>
  <c r="H188" i="1"/>
  <c r="I188" i="1"/>
  <c r="J188" i="1"/>
  <c r="B189" i="1"/>
  <c r="C189" i="1"/>
  <c r="A189" i="1" s="1"/>
  <c r="D189" i="1"/>
  <c r="E189" i="1"/>
  <c r="F189" i="1"/>
  <c r="H189" i="1"/>
  <c r="I189" i="1"/>
  <c r="J189" i="1"/>
  <c r="B190" i="1"/>
  <c r="C190" i="1"/>
  <c r="A190" i="1" s="1"/>
  <c r="D190" i="1"/>
  <c r="E190" i="1"/>
  <c r="F190" i="1"/>
  <c r="G190" i="1"/>
  <c r="H190" i="1"/>
  <c r="I190" i="1"/>
  <c r="J190" i="1"/>
  <c r="B191" i="1"/>
  <c r="C191" i="1"/>
  <c r="A191" i="1" s="1"/>
  <c r="D191" i="1"/>
  <c r="E191" i="1"/>
  <c r="F191" i="1"/>
  <c r="H191" i="1"/>
  <c r="I191" i="1"/>
  <c r="J191" i="1"/>
  <c r="B192" i="1"/>
  <c r="C192" i="1"/>
  <c r="A192" i="1" s="1"/>
  <c r="D192" i="1"/>
  <c r="E192" i="1"/>
  <c r="F192" i="1"/>
  <c r="G192" i="1"/>
  <c r="H192" i="1"/>
  <c r="I192" i="1"/>
  <c r="J192" i="1"/>
  <c r="B193" i="1"/>
  <c r="C193" i="1"/>
  <c r="A193" i="1" s="1"/>
  <c r="D193" i="1"/>
  <c r="E193" i="1"/>
  <c r="F193" i="1"/>
  <c r="G193" i="1"/>
  <c r="H193" i="1"/>
  <c r="I193" i="1"/>
  <c r="J193" i="1"/>
  <c r="B194" i="1"/>
  <c r="C194" i="1"/>
  <c r="A194" i="1" s="1"/>
  <c r="D194" i="1"/>
  <c r="E194" i="1"/>
  <c r="F194" i="1"/>
  <c r="G194" i="1"/>
  <c r="H194" i="1"/>
  <c r="I194" i="1"/>
  <c r="J194" i="1"/>
  <c r="B195" i="1"/>
  <c r="C195" i="1"/>
  <c r="A195" i="1" s="1"/>
  <c r="D195" i="1"/>
  <c r="E195" i="1"/>
  <c r="F195" i="1"/>
  <c r="G195" i="1"/>
  <c r="H195" i="1"/>
  <c r="I195" i="1"/>
  <c r="J195" i="1"/>
  <c r="B196" i="1"/>
  <c r="C196" i="1"/>
  <c r="A196" i="1" s="1"/>
  <c r="D196" i="1"/>
  <c r="E196" i="1"/>
  <c r="F196" i="1"/>
  <c r="H196" i="1"/>
  <c r="I196" i="1"/>
  <c r="J196" i="1"/>
  <c r="B197" i="1"/>
  <c r="C197" i="1"/>
  <c r="A197" i="1" s="1"/>
  <c r="D197" i="1"/>
  <c r="E197" i="1"/>
  <c r="F197" i="1"/>
  <c r="H197" i="1"/>
  <c r="I197" i="1"/>
  <c r="J197" i="1"/>
  <c r="B198" i="1"/>
  <c r="C198" i="1"/>
  <c r="A198" i="1" s="1"/>
  <c r="D198" i="1"/>
  <c r="E198" i="1"/>
  <c r="F198" i="1"/>
  <c r="H198" i="1"/>
  <c r="I198" i="1"/>
  <c r="J198" i="1"/>
  <c r="B199" i="1"/>
  <c r="C199" i="1"/>
  <c r="A199" i="1" s="1"/>
  <c r="D199" i="1"/>
  <c r="E199" i="1"/>
  <c r="F199" i="1"/>
  <c r="G199" i="1"/>
  <c r="H199" i="1"/>
  <c r="I199" i="1"/>
  <c r="J199" i="1"/>
  <c r="B200" i="1"/>
  <c r="C200" i="1"/>
  <c r="A200" i="1" s="1"/>
  <c r="D200" i="1"/>
  <c r="E200" i="1"/>
  <c r="F200" i="1"/>
  <c r="G200" i="1"/>
  <c r="H200" i="1"/>
  <c r="I200" i="1"/>
  <c r="J200" i="1"/>
  <c r="L144" i="2"/>
  <c r="M144" i="2" s="1"/>
  <c r="L145" i="2"/>
  <c r="M145" i="2" s="1"/>
  <c r="L146" i="2"/>
  <c r="M146" i="2" s="1"/>
  <c r="L147" i="2"/>
  <c r="M147" i="2" s="1"/>
  <c r="L148" i="2"/>
  <c r="M148" i="2" s="1"/>
  <c r="L149" i="2"/>
  <c r="M149" i="2" s="1"/>
  <c r="L150" i="2"/>
  <c r="M150" i="2" s="1"/>
  <c r="L151" i="2"/>
  <c r="M151" i="2" s="1"/>
  <c r="L152" i="2"/>
  <c r="M152" i="2" s="1"/>
  <c r="L153" i="2"/>
  <c r="M153" i="2" s="1"/>
  <c r="L154" i="2"/>
  <c r="M154" i="2" s="1"/>
  <c r="L155" i="2"/>
  <c r="M155" i="2" s="1"/>
  <c r="L156" i="2"/>
  <c r="M156" i="2" s="1"/>
  <c r="L157" i="2"/>
  <c r="M157" i="2" s="1"/>
  <c r="L158" i="2"/>
  <c r="M158" i="2" s="1"/>
  <c r="L159" i="2"/>
  <c r="M159" i="2" s="1"/>
  <c r="L160" i="2"/>
  <c r="M160" i="2" s="1"/>
  <c r="L161" i="2"/>
  <c r="M161" i="2" s="1"/>
  <c r="L162" i="2"/>
  <c r="M162" i="2" s="1"/>
  <c r="O162" i="2"/>
  <c r="G148" i="1" s="1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M168" i="2" s="1"/>
  <c r="L169" i="2"/>
  <c r="M169" i="2" s="1"/>
  <c r="L170" i="2"/>
  <c r="M170" i="2" s="1"/>
  <c r="O170" i="2"/>
  <c r="G156" i="1" s="1"/>
  <c r="L171" i="2"/>
  <c r="M171" i="2" s="1"/>
  <c r="L172" i="2"/>
  <c r="M172" i="2" s="1"/>
  <c r="L173" i="2"/>
  <c r="M173" i="2" s="1"/>
  <c r="L174" i="2"/>
  <c r="M174" i="2" s="1"/>
  <c r="L175" i="2"/>
  <c r="M175" i="2" s="1"/>
  <c r="L176" i="2"/>
  <c r="M176" i="2" s="1"/>
  <c r="L177" i="2"/>
  <c r="M177" i="2" s="1"/>
  <c r="L178" i="2"/>
  <c r="M178" i="2" s="1"/>
  <c r="L179" i="2"/>
  <c r="M179" i="2" s="1"/>
  <c r="L180" i="2"/>
  <c r="M180" i="2" s="1"/>
  <c r="L181" i="2"/>
  <c r="M181" i="2" s="1"/>
  <c r="O181" i="2"/>
  <c r="P181" i="2" s="1"/>
  <c r="L182" i="2"/>
  <c r="M182" i="2" s="1"/>
  <c r="L183" i="2"/>
  <c r="M183" i="2" s="1"/>
  <c r="O183" i="2"/>
  <c r="P183" i="2" s="1"/>
  <c r="L184" i="2"/>
  <c r="M184" i="2" s="1"/>
  <c r="L185" i="2"/>
  <c r="O185" i="2" s="1"/>
  <c r="L186" i="2"/>
  <c r="M186" i="2" s="1"/>
  <c r="O186" i="2"/>
  <c r="G172" i="1" s="1"/>
  <c r="L187" i="2"/>
  <c r="O187" i="2" s="1"/>
  <c r="M187" i="2"/>
  <c r="L188" i="2"/>
  <c r="M188" i="2" s="1"/>
  <c r="L189" i="2"/>
  <c r="M189" i="2" s="1"/>
  <c r="L190" i="2"/>
  <c r="M190" i="2" s="1"/>
  <c r="L191" i="2"/>
  <c r="M191" i="2" s="1"/>
  <c r="L192" i="2"/>
  <c r="M192" i="2" s="1"/>
  <c r="L193" i="2"/>
  <c r="M193" i="2"/>
  <c r="O193" i="2"/>
  <c r="P193" i="2" s="1"/>
  <c r="L194" i="2"/>
  <c r="M194" i="2" s="1"/>
  <c r="L195" i="2"/>
  <c r="O195" i="2" s="1"/>
  <c r="L196" i="2"/>
  <c r="M196" i="2" s="1"/>
  <c r="L197" i="2"/>
  <c r="M197" i="2" s="1"/>
  <c r="O197" i="2"/>
  <c r="P197" i="2" s="1"/>
  <c r="L198" i="2"/>
  <c r="M198" i="2" s="1"/>
  <c r="L199" i="2"/>
  <c r="M199" i="2" s="1"/>
  <c r="L200" i="2"/>
  <c r="M200" i="2" s="1"/>
  <c r="B50" i="1"/>
  <c r="C50" i="1"/>
  <c r="A50" i="1" s="1"/>
  <c r="D50" i="1"/>
  <c r="E50" i="1"/>
  <c r="F50" i="1"/>
  <c r="H50" i="1"/>
  <c r="I50" i="1"/>
  <c r="J50" i="1"/>
  <c r="B51" i="1"/>
  <c r="C51" i="1"/>
  <c r="D51" i="1"/>
  <c r="E51" i="1"/>
  <c r="F51" i="1"/>
  <c r="H51" i="1"/>
  <c r="I51" i="1"/>
  <c r="J51" i="1"/>
  <c r="B52" i="1"/>
  <c r="C52" i="1"/>
  <c r="D52" i="1"/>
  <c r="E52" i="1"/>
  <c r="F52" i="1"/>
  <c r="H52" i="1"/>
  <c r="I52" i="1"/>
  <c r="J52" i="1"/>
  <c r="B53" i="1"/>
  <c r="C53" i="1"/>
  <c r="D53" i="1"/>
  <c r="E53" i="1"/>
  <c r="F53" i="1"/>
  <c r="H53" i="1"/>
  <c r="I53" i="1"/>
  <c r="J53" i="1"/>
  <c r="B54" i="1"/>
  <c r="C54" i="1"/>
  <c r="A54" i="1" s="1"/>
  <c r="D54" i="1"/>
  <c r="E54" i="1"/>
  <c r="F54" i="1"/>
  <c r="H54" i="1"/>
  <c r="I54" i="1"/>
  <c r="J54" i="1"/>
  <c r="B55" i="1"/>
  <c r="C55" i="1"/>
  <c r="A55" i="1" s="1"/>
  <c r="D55" i="1"/>
  <c r="E55" i="1"/>
  <c r="F55" i="1"/>
  <c r="H55" i="1"/>
  <c r="I55" i="1"/>
  <c r="J55" i="1"/>
  <c r="B56" i="1"/>
  <c r="C56" i="1"/>
  <c r="A56" i="1" s="1"/>
  <c r="D56" i="1"/>
  <c r="E56" i="1"/>
  <c r="F56" i="1"/>
  <c r="H56" i="1"/>
  <c r="I56" i="1"/>
  <c r="J56" i="1"/>
  <c r="B57" i="1"/>
  <c r="C57" i="1"/>
  <c r="D57" i="1"/>
  <c r="E57" i="1"/>
  <c r="F57" i="1"/>
  <c r="H57" i="1"/>
  <c r="I57" i="1"/>
  <c r="J57" i="1"/>
  <c r="B58" i="1"/>
  <c r="C58" i="1"/>
  <c r="A58" i="1" s="1"/>
  <c r="D58" i="1"/>
  <c r="E58" i="1"/>
  <c r="F58" i="1"/>
  <c r="H58" i="1"/>
  <c r="I58" i="1"/>
  <c r="J58" i="1"/>
  <c r="B59" i="1"/>
  <c r="C59" i="1"/>
  <c r="D59" i="1"/>
  <c r="E59" i="1"/>
  <c r="F59" i="1"/>
  <c r="H59" i="1"/>
  <c r="I59" i="1"/>
  <c r="J59" i="1"/>
  <c r="B60" i="1"/>
  <c r="C60" i="1"/>
  <c r="D60" i="1"/>
  <c r="E60" i="1"/>
  <c r="F60" i="1"/>
  <c r="H60" i="1"/>
  <c r="I60" i="1"/>
  <c r="J60" i="1"/>
  <c r="B61" i="1"/>
  <c r="C61" i="1"/>
  <c r="D61" i="1"/>
  <c r="E61" i="1"/>
  <c r="F61" i="1"/>
  <c r="H61" i="1"/>
  <c r="I61" i="1"/>
  <c r="J61" i="1"/>
  <c r="B62" i="1"/>
  <c r="C62" i="1"/>
  <c r="A62" i="1" s="1"/>
  <c r="D62" i="1"/>
  <c r="E62" i="1"/>
  <c r="F62" i="1"/>
  <c r="H62" i="1"/>
  <c r="I62" i="1"/>
  <c r="J62" i="1"/>
  <c r="B63" i="1"/>
  <c r="C63" i="1"/>
  <c r="A63" i="1" s="1"/>
  <c r="D63" i="1"/>
  <c r="E63" i="1"/>
  <c r="F63" i="1"/>
  <c r="H63" i="1"/>
  <c r="I63" i="1"/>
  <c r="J63" i="1"/>
  <c r="B64" i="1"/>
  <c r="C64" i="1"/>
  <c r="A64" i="1" s="1"/>
  <c r="D64" i="1"/>
  <c r="E64" i="1"/>
  <c r="F64" i="1"/>
  <c r="H64" i="1"/>
  <c r="I64" i="1"/>
  <c r="J64" i="1"/>
  <c r="B65" i="1"/>
  <c r="C65" i="1"/>
  <c r="D65" i="1"/>
  <c r="E65" i="1"/>
  <c r="F65" i="1"/>
  <c r="H65" i="1"/>
  <c r="I65" i="1"/>
  <c r="J65" i="1"/>
  <c r="B66" i="1"/>
  <c r="C66" i="1"/>
  <c r="A66" i="1" s="1"/>
  <c r="D66" i="1"/>
  <c r="E66" i="1"/>
  <c r="F66" i="1"/>
  <c r="H66" i="1"/>
  <c r="I66" i="1"/>
  <c r="J66" i="1"/>
  <c r="B67" i="1"/>
  <c r="C67" i="1"/>
  <c r="D67" i="1"/>
  <c r="E67" i="1"/>
  <c r="F67" i="1"/>
  <c r="H67" i="1"/>
  <c r="I67" i="1"/>
  <c r="J67" i="1"/>
  <c r="B68" i="1"/>
  <c r="C68" i="1"/>
  <c r="D68" i="1"/>
  <c r="E68" i="1"/>
  <c r="F68" i="1"/>
  <c r="H68" i="1"/>
  <c r="I68" i="1"/>
  <c r="J68" i="1"/>
  <c r="B69" i="1"/>
  <c r="C69" i="1"/>
  <c r="D69" i="1"/>
  <c r="E69" i="1"/>
  <c r="F69" i="1"/>
  <c r="H69" i="1"/>
  <c r="I69" i="1"/>
  <c r="J69" i="1"/>
  <c r="B70" i="1"/>
  <c r="C70" i="1"/>
  <c r="A70" i="1" s="1"/>
  <c r="D70" i="1"/>
  <c r="E70" i="1"/>
  <c r="F70" i="1"/>
  <c r="H70" i="1"/>
  <c r="I70" i="1"/>
  <c r="J70" i="1"/>
  <c r="B71" i="1"/>
  <c r="C71" i="1"/>
  <c r="A71" i="1" s="1"/>
  <c r="D71" i="1"/>
  <c r="E71" i="1"/>
  <c r="F71" i="1"/>
  <c r="H71" i="1"/>
  <c r="I71" i="1"/>
  <c r="J71" i="1"/>
  <c r="B72" i="1"/>
  <c r="C72" i="1"/>
  <c r="A72" i="1" s="1"/>
  <c r="D72" i="1"/>
  <c r="E72" i="1"/>
  <c r="F72" i="1"/>
  <c r="H72" i="1"/>
  <c r="I72" i="1"/>
  <c r="J72" i="1"/>
  <c r="B73" i="1"/>
  <c r="C73" i="1"/>
  <c r="D73" i="1"/>
  <c r="E73" i="1"/>
  <c r="F73" i="1"/>
  <c r="H73" i="1"/>
  <c r="I73" i="1"/>
  <c r="J73" i="1"/>
  <c r="B74" i="1"/>
  <c r="C74" i="1"/>
  <c r="A74" i="1" s="1"/>
  <c r="D74" i="1"/>
  <c r="E74" i="1"/>
  <c r="F74" i="1"/>
  <c r="H74" i="1"/>
  <c r="I74" i="1"/>
  <c r="J74" i="1"/>
  <c r="B75" i="1"/>
  <c r="C75" i="1"/>
  <c r="D75" i="1"/>
  <c r="E75" i="1"/>
  <c r="F75" i="1"/>
  <c r="H75" i="1"/>
  <c r="I75" i="1"/>
  <c r="J75" i="1"/>
  <c r="B76" i="1"/>
  <c r="C76" i="1"/>
  <c r="D76" i="1"/>
  <c r="E76" i="1"/>
  <c r="F76" i="1"/>
  <c r="H76" i="1"/>
  <c r="I76" i="1"/>
  <c r="J76" i="1"/>
  <c r="B77" i="1"/>
  <c r="C77" i="1"/>
  <c r="D77" i="1"/>
  <c r="E77" i="1"/>
  <c r="F77" i="1"/>
  <c r="H77" i="1"/>
  <c r="I77" i="1"/>
  <c r="J77" i="1"/>
  <c r="B78" i="1"/>
  <c r="C78" i="1"/>
  <c r="A78" i="1" s="1"/>
  <c r="D78" i="1"/>
  <c r="E78" i="1"/>
  <c r="F78" i="1"/>
  <c r="H78" i="1"/>
  <c r="I78" i="1"/>
  <c r="J78" i="1"/>
  <c r="B79" i="1"/>
  <c r="C79" i="1"/>
  <c r="A79" i="1" s="1"/>
  <c r="D79" i="1"/>
  <c r="E79" i="1"/>
  <c r="F79" i="1"/>
  <c r="H79" i="1"/>
  <c r="I79" i="1"/>
  <c r="J79" i="1"/>
  <c r="B80" i="1"/>
  <c r="C80" i="1"/>
  <c r="A80" i="1" s="1"/>
  <c r="D80" i="1"/>
  <c r="E80" i="1"/>
  <c r="F80" i="1"/>
  <c r="H80" i="1"/>
  <c r="I80" i="1"/>
  <c r="J80" i="1"/>
  <c r="B81" i="1"/>
  <c r="C81" i="1"/>
  <c r="D81" i="1"/>
  <c r="E81" i="1"/>
  <c r="F81" i="1"/>
  <c r="H81" i="1"/>
  <c r="I81" i="1"/>
  <c r="J81" i="1"/>
  <c r="B82" i="1"/>
  <c r="C82" i="1"/>
  <c r="A82" i="1" s="1"/>
  <c r="D82" i="1"/>
  <c r="E82" i="1"/>
  <c r="F82" i="1"/>
  <c r="H82" i="1"/>
  <c r="I82" i="1"/>
  <c r="J82" i="1"/>
  <c r="B83" i="1"/>
  <c r="C83" i="1"/>
  <c r="D83" i="1"/>
  <c r="E83" i="1"/>
  <c r="F83" i="1"/>
  <c r="H83" i="1"/>
  <c r="I83" i="1"/>
  <c r="J83" i="1"/>
  <c r="B84" i="1"/>
  <c r="C84" i="1"/>
  <c r="D84" i="1"/>
  <c r="E84" i="1"/>
  <c r="F84" i="1"/>
  <c r="H84" i="1"/>
  <c r="I84" i="1"/>
  <c r="J84" i="1"/>
  <c r="B85" i="1"/>
  <c r="C85" i="1"/>
  <c r="D85" i="1"/>
  <c r="E85" i="1"/>
  <c r="F85" i="1"/>
  <c r="H85" i="1"/>
  <c r="I85" i="1"/>
  <c r="J85" i="1"/>
  <c r="B86" i="1"/>
  <c r="C86" i="1"/>
  <c r="A86" i="1" s="1"/>
  <c r="D86" i="1"/>
  <c r="E86" i="1"/>
  <c r="F86" i="1"/>
  <c r="H86" i="1"/>
  <c r="I86" i="1"/>
  <c r="J86" i="1"/>
  <c r="B87" i="1"/>
  <c r="C87" i="1"/>
  <c r="A87" i="1" s="1"/>
  <c r="D87" i="1"/>
  <c r="E87" i="1"/>
  <c r="F87" i="1"/>
  <c r="H87" i="1"/>
  <c r="I87" i="1"/>
  <c r="J87" i="1"/>
  <c r="B88" i="1"/>
  <c r="C88" i="1"/>
  <c r="A88" i="1" s="1"/>
  <c r="D88" i="1"/>
  <c r="E88" i="1"/>
  <c r="F88" i="1"/>
  <c r="H88" i="1"/>
  <c r="I88" i="1"/>
  <c r="J88" i="1"/>
  <c r="B89" i="1"/>
  <c r="C89" i="1"/>
  <c r="D89" i="1"/>
  <c r="E89" i="1"/>
  <c r="F89" i="1"/>
  <c r="H89" i="1"/>
  <c r="I89" i="1"/>
  <c r="J89" i="1"/>
  <c r="B90" i="1"/>
  <c r="C90" i="1"/>
  <c r="A90" i="1" s="1"/>
  <c r="D90" i="1"/>
  <c r="E90" i="1"/>
  <c r="F90" i="1"/>
  <c r="H90" i="1"/>
  <c r="I90" i="1"/>
  <c r="J90" i="1"/>
  <c r="B91" i="1"/>
  <c r="C91" i="1"/>
  <c r="D91" i="1"/>
  <c r="E91" i="1"/>
  <c r="F91" i="1"/>
  <c r="H91" i="1"/>
  <c r="I91" i="1"/>
  <c r="J91" i="1"/>
  <c r="B92" i="1"/>
  <c r="C92" i="1"/>
  <c r="D92" i="1"/>
  <c r="E92" i="1"/>
  <c r="F92" i="1"/>
  <c r="H92" i="1"/>
  <c r="I92" i="1"/>
  <c r="J92" i="1"/>
  <c r="B93" i="1"/>
  <c r="C93" i="1"/>
  <c r="D93" i="1"/>
  <c r="E93" i="1"/>
  <c r="F93" i="1"/>
  <c r="H93" i="1"/>
  <c r="I93" i="1"/>
  <c r="J93" i="1"/>
  <c r="B94" i="1"/>
  <c r="C94" i="1"/>
  <c r="A94" i="1" s="1"/>
  <c r="D94" i="1"/>
  <c r="E94" i="1"/>
  <c r="F94" i="1"/>
  <c r="H94" i="1"/>
  <c r="I94" i="1"/>
  <c r="J94" i="1"/>
  <c r="B95" i="1"/>
  <c r="C95" i="1"/>
  <c r="A95" i="1" s="1"/>
  <c r="D95" i="1"/>
  <c r="E95" i="1"/>
  <c r="F95" i="1"/>
  <c r="H95" i="1"/>
  <c r="I95" i="1"/>
  <c r="J95" i="1"/>
  <c r="B96" i="1"/>
  <c r="C96" i="1"/>
  <c r="A96" i="1" s="1"/>
  <c r="D96" i="1"/>
  <c r="E96" i="1"/>
  <c r="F96" i="1"/>
  <c r="H96" i="1"/>
  <c r="I96" i="1"/>
  <c r="J96" i="1"/>
  <c r="B97" i="1"/>
  <c r="C97" i="1"/>
  <c r="D97" i="1"/>
  <c r="E97" i="1"/>
  <c r="F97" i="1"/>
  <c r="H97" i="1"/>
  <c r="I97" i="1"/>
  <c r="J97" i="1"/>
  <c r="B98" i="1"/>
  <c r="C98" i="1"/>
  <c r="A98" i="1" s="1"/>
  <c r="D98" i="1"/>
  <c r="E98" i="1"/>
  <c r="F98" i="1"/>
  <c r="H98" i="1"/>
  <c r="I98" i="1"/>
  <c r="J98" i="1"/>
  <c r="B99" i="1"/>
  <c r="C99" i="1"/>
  <c r="D99" i="1"/>
  <c r="E99" i="1"/>
  <c r="F99" i="1"/>
  <c r="H99" i="1"/>
  <c r="I99" i="1"/>
  <c r="J99" i="1"/>
  <c r="B100" i="1"/>
  <c r="C100" i="1"/>
  <c r="D100" i="1"/>
  <c r="E100" i="1"/>
  <c r="F100" i="1"/>
  <c r="H100" i="1"/>
  <c r="I100" i="1"/>
  <c r="J100" i="1"/>
  <c r="B101" i="1"/>
  <c r="C101" i="1"/>
  <c r="D101" i="1"/>
  <c r="E101" i="1"/>
  <c r="F101" i="1"/>
  <c r="H101" i="1"/>
  <c r="I101" i="1"/>
  <c r="J101" i="1"/>
  <c r="B102" i="1"/>
  <c r="C102" i="1"/>
  <c r="A102" i="1" s="1"/>
  <c r="D102" i="1"/>
  <c r="E102" i="1"/>
  <c r="F102" i="1"/>
  <c r="H102" i="1"/>
  <c r="I102" i="1"/>
  <c r="J102" i="1"/>
  <c r="B103" i="1"/>
  <c r="C103" i="1"/>
  <c r="A103" i="1" s="1"/>
  <c r="D103" i="1"/>
  <c r="E103" i="1"/>
  <c r="F103" i="1"/>
  <c r="H103" i="1"/>
  <c r="I103" i="1"/>
  <c r="J103" i="1"/>
  <c r="B104" i="1"/>
  <c r="C104" i="1"/>
  <c r="A104" i="1" s="1"/>
  <c r="D104" i="1"/>
  <c r="E104" i="1"/>
  <c r="F104" i="1"/>
  <c r="H104" i="1"/>
  <c r="I104" i="1"/>
  <c r="J104" i="1"/>
  <c r="B105" i="1"/>
  <c r="C105" i="1"/>
  <c r="D105" i="1"/>
  <c r="E105" i="1"/>
  <c r="F105" i="1"/>
  <c r="H105" i="1"/>
  <c r="I105" i="1"/>
  <c r="J105" i="1"/>
  <c r="B106" i="1"/>
  <c r="C106" i="1"/>
  <c r="A106" i="1" s="1"/>
  <c r="D106" i="1"/>
  <c r="E106" i="1"/>
  <c r="F106" i="1"/>
  <c r="H106" i="1"/>
  <c r="I106" i="1"/>
  <c r="J106" i="1"/>
  <c r="B107" i="1"/>
  <c r="C107" i="1"/>
  <c r="D107" i="1"/>
  <c r="E107" i="1"/>
  <c r="F107" i="1"/>
  <c r="H107" i="1"/>
  <c r="I107" i="1"/>
  <c r="J107" i="1"/>
  <c r="B108" i="1"/>
  <c r="C108" i="1"/>
  <c r="D108" i="1"/>
  <c r="E108" i="1"/>
  <c r="F108" i="1"/>
  <c r="H108" i="1"/>
  <c r="I108" i="1"/>
  <c r="J108" i="1"/>
  <c r="B109" i="1"/>
  <c r="C109" i="1"/>
  <c r="D109" i="1"/>
  <c r="E109" i="1"/>
  <c r="F109" i="1"/>
  <c r="H109" i="1"/>
  <c r="I109" i="1"/>
  <c r="J109" i="1"/>
  <c r="B110" i="1"/>
  <c r="C110" i="1"/>
  <c r="A110" i="1" s="1"/>
  <c r="D110" i="1"/>
  <c r="E110" i="1"/>
  <c r="F110" i="1"/>
  <c r="H110" i="1"/>
  <c r="I110" i="1"/>
  <c r="J110" i="1"/>
  <c r="B111" i="1"/>
  <c r="C111" i="1"/>
  <c r="A111" i="1" s="1"/>
  <c r="D111" i="1"/>
  <c r="E111" i="1"/>
  <c r="F111" i="1"/>
  <c r="H111" i="1"/>
  <c r="I111" i="1"/>
  <c r="J111" i="1"/>
  <c r="B112" i="1"/>
  <c r="C112" i="1"/>
  <c r="A112" i="1" s="1"/>
  <c r="D112" i="1"/>
  <c r="E112" i="1"/>
  <c r="F112" i="1"/>
  <c r="H112" i="1"/>
  <c r="I112" i="1"/>
  <c r="J112" i="1"/>
  <c r="B113" i="1"/>
  <c r="C113" i="1"/>
  <c r="D113" i="1"/>
  <c r="E113" i="1"/>
  <c r="F113" i="1"/>
  <c r="H113" i="1"/>
  <c r="I113" i="1"/>
  <c r="J113" i="1"/>
  <c r="B114" i="1"/>
  <c r="C114" i="1"/>
  <c r="A114" i="1" s="1"/>
  <c r="D114" i="1"/>
  <c r="E114" i="1"/>
  <c r="F114" i="1"/>
  <c r="H114" i="1"/>
  <c r="I114" i="1"/>
  <c r="J114" i="1"/>
  <c r="B115" i="1"/>
  <c r="C115" i="1"/>
  <c r="D115" i="1"/>
  <c r="E115" i="1"/>
  <c r="F115" i="1"/>
  <c r="H115" i="1"/>
  <c r="I115" i="1"/>
  <c r="J115" i="1"/>
  <c r="B116" i="1"/>
  <c r="C116" i="1"/>
  <c r="D116" i="1"/>
  <c r="E116" i="1"/>
  <c r="F116" i="1"/>
  <c r="H116" i="1"/>
  <c r="I116" i="1"/>
  <c r="J116" i="1"/>
  <c r="B117" i="1"/>
  <c r="C117" i="1"/>
  <c r="D117" i="1"/>
  <c r="E117" i="1"/>
  <c r="F117" i="1"/>
  <c r="H117" i="1"/>
  <c r="I117" i="1"/>
  <c r="J117" i="1"/>
  <c r="B118" i="1"/>
  <c r="C118" i="1"/>
  <c r="A118" i="1" s="1"/>
  <c r="D118" i="1"/>
  <c r="E118" i="1"/>
  <c r="F118" i="1"/>
  <c r="H118" i="1"/>
  <c r="I118" i="1"/>
  <c r="J118" i="1"/>
  <c r="B119" i="1"/>
  <c r="C119" i="1"/>
  <c r="A119" i="1" s="1"/>
  <c r="D119" i="1"/>
  <c r="E119" i="1"/>
  <c r="F119" i="1"/>
  <c r="H119" i="1"/>
  <c r="I119" i="1"/>
  <c r="J119" i="1"/>
  <c r="B120" i="1"/>
  <c r="C120" i="1"/>
  <c r="A120" i="1" s="1"/>
  <c r="D120" i="1"/>
  <c r="E120" i="1"/>
  <c r="F120" i="1"/>
  <c r="H120" i="1"/>
  <c r="I120" i="1"/>
  <c r="J120" i="1"/>
  <c r="B121" i="1"/>
  <c r="C121" i="1"/>
  <c r="D121" i="1"/>
  <c r="E121" i="1"/>
  <c r="F121" i="1"/>
  <c r="H121" i="1"/>
  <c r="I121" i="1"/>
  <c r="J121" i="1"/>
  <c r="B122" i="1"/>
  <c r="C122" i="1"/>
  <c r="A122" i="1" s="1"/>
  <c r="D122" i="1"/>
  <c r="E122" i="1"/>
  <c r="F122" i="1"/>
  <c r="H122" i="1"/>
  <c r="I122" i="1"/>
  <c r="J122" i="1"/>
  <c r="B123" i="1"/>
  <c r="C123" i="1"/>
  <c r="D123" i="1"/>
  <c r="E123" i="1"/>
  <c r="F123" i="1"/>
  <c r="H123" i="1"/>
  <c r="I123" i="1"/>
  <c r="J123" i="1"/>
  <c r="B124" i="1"/>
  <c r="C124" i="1"/>
  <c r="D124" i="1"/>
  <c r="E124" i="1"/>
  <c r="F124" i="1"/>
  <c r="H124" i="1"/>
  <c r="I124" i="1"/>
  <c r="J124" i="1"/>
  <c r="B125" i="1"/>
  <c r="C125" i="1"/>
  <c r="D125" i="1"/>
  <c r="E125" i="1"/>
  <c r="F125" i="1"/>
  <c r="H125" i="1"/>
  <c r="I125" i="1"/>
  <c r="J125" i="1"/>
  <c r="B126" i="1"/>
  <c r="C126" i="1"/>
  <c r="A126" i="1" s="1"/>
  <c r="D126" i="1"/>
  <c r="E126" i="1"/>
  <c r="F126" i="1"/>
  <c r="H126" i="1"/>
  <c r="I126" i="1"/>
  <c r="J126" i="1"/>
  <c r="B127" i="1"/>
  <c r="C127" i="1"/>
  <c r="A127" i="1" s="1"/>
  <c r="D127" i="1"/>
  <c r="E127" i="1"/>
  <c r="F127" i="1"/>
  <c r="H127" i="1"/>
  <c r="I127" i="1"/>
  <c r="J127" i="1"/>
  <c r="B128" i="1"/>
  <c r="C128" i="1"/>
  <c r="A128" i="1" s="1"/>
  <c r="D128" i="1"/>
  <c r="E128" i="1"/>
  <c r="F128" i="1"/>
  <c r="H128" i="1"/>
  <c r="I128" i="1"/>
  <c r="J128" i="1"/>
  <c r="B129" i="1"/>
  <c r="C129" i="1"/>
  <c r="D129" i="1"/>
  <c r="E129" i="1"/>
  <c r="F129" i="1"/>
  <c r="H129" i="1"/>
  <c r="I129" i="1"/>
  <c r="J129" i="1"/>
  <c r="B130" i="1"/>
  <c r="C130" i="1"/>
  <c r="A130" i="1" s="1"/>
  <c r="D130" i="1"/>
  <c r="E130" i="1"/>
  <c r="F130" i="1"/>
  <c r="H130" i="1"/>
  <c r="I130" i="1"/>
  <c r="J130" i="1"/>
  <c r="B131" i="1"/>
  <c r="C131" i="1"/>
  <c r="D131" i="1"/>
  <c r="E131" i="1"/>
  <c r="F131" i="1"/>
  <c r="H131" i="1"/>
  <c r="I131" i="1"/>
  <c r="J131" i="1"/>
  <c r="B132" i="1"/>
  <c r="C132" i="1"/>
  <c r="D132" i="1"/>
  <c r="E132" i="1"/>
  <c r="F132" i="1"/>
  <c r="H132" i="1"/>
  <c r="I132" i="1"/>
  <c r="J132" i="1"/>
  <c r="B133" i="1"/>
  <c r="C133" i="1"/>
  <c r="D133" i="1"/>
  <c r="E133" i="1"/>
  <c r="F133" i="1"/>
  <c r="H133" i="1"/>
  <c r="I133" i="1"/>
  <c r="J133" i="1"/>
  <c r="B134" i="1"/>
  <c r="C134" i="1"/>
  <c r="A134" i="1" s="1"/>
  <c r="D134" i="1"/>
  <c r="E134" i="1"/>
  <c r="F134" i="1"/>
  <c r="H134" i="1"/>
  <c r="I134" i="1"/>
  <c r="J134" i="1"/>
  <c r="B135" i="1"/>
  <c r="C135" i="1"/>
  <c r="A135" i="1" s="1"/>
  <c r="D135" i="1"/>
  <c r="E135" i="1"/>
  <c r="F135" i="1"/>
  <c r="H135" i="1"/>
  <c r="I135" i="1"/>
  <c r="J135" i="1"/>
  <c r="B136" i="1"/>
  <c r="C136" i="1"/>
  <c r="A136" i="1" s="1"/>
  <c r="D136" i="1"/>
  <c r="E136" i="1"/>
  <c r="F136" i="1"/>
  <c r="H136" i="1"/>
  <c r="I136" i="1"/>
  <c r="J136" i="1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L95" i="2"/>
  <c r="M95" i="2" s="1"/>
  <c r="O95" i="2"/>
  <c r="P95" i="2" s="1"/>
  <c r="L96" i="2"/>
  <c r="M96" i="2" s="1"/>
  <c r="L97" i="2"/>
  <c r="M97" i="2" s="1"/>
  <c r="L98" i="2"/>
  <c r="M98" i="2" s="1"/>
  <c r="L99" i="2"/>
  <c r="O99" i="2" s="1"/>
  <c r="L100" i="2"/>
  <c r="M100" i="2" s="1"/>
  <c r="L101" i="2"/>
  <c r="O101" i="2" s="1"/>
  <c r="P101" i="2" s="1"/>
  <c r="L102" i="2"/>
  <c r="M102" i="2" s="1"/>
  <c r="L103" i="2"/>
  <c r="O103" i="2" s="1"/>
  <c r="P103" i="2" s="1"/>
  <c r="L104" i="2"/>
  <c r="M104" i="2" s="1"/>
  <c r="O104" i="2"/>
  <c r="G90" i="1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 s="1"/>
  <c r="O110" i="2"/>
  <c r="P110" i="2" s="1"/>
  <c r="L111" i="2"/>
  <c r="M111" i="2" s="1"/>
  <c r="L112" i="2"/>
  <c r="M112" i="2" s="1"/>
  <c r="L113" i="2"/>
  <c r="M113" i="2" s="1"/>
  <c r="L114" i="2"/>
  <c r="M114" i="2" s="1"/>
  <c r="L115" i="2"/>
  <c r="M115" i="2" s="1"/>
  <c r="L116" i="2"/>
  <c r="M116" i="2" s="1"/>
  <c r="L117" i="2"/>
  <c r="M117" i="2" s="1"/>
  <c r="L118" i="2"/>
  <c r="M118" i="2" s="1"/>
  <c r="L119" i="2"/>
  <c r="M119" i="2" s="1"/>
  <c r="L120" i="2"/>
  <c r="M120" i="2" s="1"/>
  <c r="L121" i="2"/>
  <c r="M121" i="2" s="1"/>
  <c r="L122" i="2"/>
  <c r="M122" i="2" s="1"/>
  <c r="L123" i="2"/>
  <c r="M123" i="2" s="1"/>
  <c r="L124" i="2"/>
  <c r="M124" i="2" s="1"/>
  <c r="L125" i="2"/>
  <c r="M125" i="2" s="1"/>
  <c r="L126" i="2"/>
  <c r="M126" i="2" s="1"/>
  <c r="L127" i="2"/>
  <c r="M127" i="2" s="1"/>
  <c r="L128" i="2"/>
  <c r="M128" i="2" s="1"/>
  <c r="L129" i="2"/>
  <c r="M129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0" i="2"/>
  <c r="M140" i="2" s="1"/>
  <c r="L141" i="2"/>
  <c r="M141" i="2" s="1"/>
  <c r="L142" i="2"/>
  <c r="M142" i="2" s="1"/>
  <c r="L143" i="2"/>
  <c r="M143" i="2" s="1"/>
  <c r="L70" i="2"/>
  <c r="M70" i="2" s="1"/>
  <c r="L71" i="2"/>
  <c r="M71" i="2" s="1"/>
  <c r="L72" i="2"/>
  <c r="M72" i="2" s="1"/>
  <c r="L73" i="2"/>
  <c r="O73" i="2" s="1"/>
  <c r="P73" i="2" s="1"/>
  <c r="L74" i="2"/>
  <c r="M74" i="2" s="1"/>
  <c r="L75" i="2"/>
  <c r="M75" i="2" s="1"/>
  <c r="L76" i="2"/>
  <c r="M76" i="2" s="1"/>
  <c r="L77" i="2"/>
  <c r="M77" i="2" s="1"/>
  <c r="L78" i="2"/>
  <c r="M78" i="2" s="1"/>
  <c r="L79" i="2"/>
  <c r="O79" i="2" s="1"/>
  <c r="P79" i="2" s="1"/>
  <c r="L80" i="2"/>
  <c r="M80" i="2" s="1"/>
  <c r="L81" i="2"/>
  <c r="M81" i="2" s="1"/>
  <c r="L82" i="2"/>
  <c r="M82" i="2" s="1"/>
  <c r="L83" i="2"/>
  <c r="M83" i="2" s="1"/>
  <c r="L67" i="2"/>
  <c r="M67" i="2" s="1"/>
  <c r="L68" i="2"/>
  <c r="M68" i="2" s="1"/>
  <c r="L69" i="2"/>
  <c r="M69" i="2" s="1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M64" i="2" s="1"/>
  <c r="L65" i="2"/>
  <c r="M65" i="2" s="1"/>
  <c r="L66" i="2"/>
  <c r="O66" i="2" s="1"/>
  <c r="P6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O347" i="2" l="1"/>
  <c r="P345" i="2"/>
  <c r="G198" i="1"/>
  <c r="P212" i="2"/>
  <c r="P205" i="2"/>
  <c r="G191" i="1"/>
  <c r="O348" i="2"/>
  <c r="P348" i="2" s="1"/>
  <c r="O338" i="2"/>
  <c r="P338" i="2" s="1"/>
  <c r="O333" i="2"/>
  <c r="P333" i="2" s="1"/>
  <c r="O328" i="2"/>
  <c r="P328" i="2" s="1"/>
  <c r="O323" i="2"/>
  <c r="P323" i="2" s="1"/>
  <c r="O316" i="2"/>
  <c r="P316" i="2" s="1"/>
  <c r="O306" i="2"/>
  <c r="P306" i="2" s="1"/>
  <c r="O301" i="2"/>
  <c r="P301" i="2" s="1"/>
  <c r="O296" i="2"/>
  <c r="P296" i="2" s="1"/>
  <c r="O291" i="2"/>
  <c r="P291" i="2" s="1"/>
  <c r="O284" i="2"/>
  <c r="P284" i="2" s="1"/>
  <c r="O274" i="2"/>
  <c r="P274" i="2" s="1"/>
  <c r="O269" i="2"/>
  <c r="P269" i="2" s="1"/>
  <c r="O264" i="2"/>
  <c r="P264" i="2" s="1"/>
  <c r="O250" i="2"/>
  <c r="P250" i="2" s="1"/>
  <c r="O243" i="2"/>
  <c r="P243" i="2" s="1"/>
  <c r="O234" i="2"/>
  <c r="P234" i="2" s="1"/>
  <c r="O227" i="2"/>
  <c r="P227" i="2" s="1"/>
  <c r="O218" i="2"/>
  <c r="P218" i="2" s="1"/>
  <c r="O211" i="2"/>
  <c r="O202" i="2"/>
  <c r="O154" i="2"/>
  <c r="G140" i="1" s="1"/>
  <c r="M195" i="2"/>
  <c r="M185" i="2"/>
  <c r="O158" i="2"/>
  <c r="G144" i="1" s="1"/>
  <c r="O349" i="2"/>
  <c r="P349" i="2" s="1"/>
  <c r="O344" i="2"/>
  <c r="P344" i="2" s="1"/>
  <c r="O339" i="2"/>
  <c r="P339" i="2" s="1"/>
  <c r="O332" i="2"/>
  <c r="P332" i="2" s="1"/>
  <c r="O322" i="2"/>
  <c r="P322" i="2" s="1"/>
  <c r="O317" i="2"/>
  <c r="P317" i="2" s="1"/>
  <c r="O312" i="2"/>
  <c r="P312" i="2" s="1"/>
  <c r="O307" i="2"/>
  <c r="P307" i="2" s="1"/>
  <c r="O300" i="2"/>
  <c r="P300" i="2" s="1"/>
  <c r="O290" i="2"/>
  <c r="P290" i="2" s="1"/>
  <c r="O285" i="2"/>
  <c r="P285" i="2" s="1"/>
  <c r="O280" i="2"/>
  <c r="P280" i="2" s="1"/>
  <c r="O275" i="2"/>
  <c r="P275" i="2" s="1"/>
  <c r="O268" i="2"/>
  <c r="P268" i="2" s="1"/>
  <c r="O258" i="2"/>
  <c r="P258" i="2" s="1"/>
  <c r="O251" i="2"/>
  <c r="P251" i="2" s="1"/>
  <c r="O242" i="2"/>
  <c r="P242" i="2" s="1"/>
  <c r="O235" i="2"/>
  <c r="P235" i="2" s="1"/>
  <c r="O226" i="2"/>
  <c r="P226" i="2" s="1"/>
  <c r="O219" i="2"/>
  <c r="P219" i="2" s="1"/>
  <c r="O210" i="2"/>
  <c r="O203" i="2"/>
  <c r="O189" i="2"/>
  <c r="P189" i="2" s="1"/>
  <c r="P185" i="2"/>
  <c r="G171" i="1"/>
  <c r="G179" i="1"/>
  <c r="O194" i="2"/>
  <c r="O191" i="2"/>
  <c r="O184" i="2"/>
  <c r="O166" i="2"/>
  <c r="G152" i="1" s="1"/>
  <c r="O135" i="2"/>
  <c r="P135" i="2" s="1"/>
  <c r="P186" i="2"/>
  <c r="O178" i="2"/>
  <c r="G164" i="1" s="1"/>
  <c r="O146" i="2"/>
  <c r="G169" i="1"/>
  <c r="O200" i="2"/>
  <c r="O150" i="2"/>
  <c r="P150" i="2" s="1"/>
  <c r="M101" i="2"/>
  <c r="O199" i="2"/>
  <c r="O192" i="2"/>
  <c r="O174" i="2"/>
  <c r="G160" i="1" s="1"/>
  <c r="P187" i="2"/>
  <c r="G173" i="1"/>
  <c r="P195" i="2"/>
  <c r="G181" i="1"/>
  <c r="G136" i="1"/>
  <c r="O198" i="2"/>
  <c r="O190" i="2"/>
  <c r="O182" i="2"/>
  <c r="P178" i="2"/>
  <c r="P170" i="2"/>
  <c r="P166" i="2"/>
  <c r="P162" i="2"/>
  <c r="P154" i="2"/>
  <c r="O94" i="2"/>
  <c r="P94" i="2" s="1"/>
  <c r="G183" i="1"/>
  <c r="G175" i="1"/>
  <c r="G167" i="1"/>
  <c r="O131" i="2"/>
  <c r="P131" i="2" s="1"/>
  <c r="O96" i="2"/>
  <c r="G82" i="1" s="1"/>
  <c r="O180" i="2"/>
  <c r="O176" i="2"/>
  <c r="O172" i="2"/>
  <c r="O168" i="2"/>
  <c r="O164" i="2"/>
  <c r="O160" i="2"/>
  <c r="O156" i="2"/>
  <c r="O152" i="2"/>
  <c r="O148" i="2"/>
  <c r="O144" i="2"/>
  <c r="O196" i="2"/>
  <c r="O188" i="2"/>
  <c r="O179" i="2"/>
  <c r="O177" i="2"/>
  <c r="O175" i="2"/>
  <c r="O173" i="2"/>
  <c r="G159" i="1" s="1"/>
  <c r="O171" i="2"/>
  <c r="G157" i="1" s="1"/>
  <c r="O169" i="2"/>
  <c r="G155" i="1" s="1"/>
  <c r="O167" i="2"/>
  <c r="G153" i="1" s="1"/>
  <c r="O165" i="2"/>
  <c r="G151" i="1" s="1"/>
  <c r="O163" i="2"/>
  <c r="G149" i="1" s="1"/>
  <c r="O161" i="2"/>
  <c r="G147" i="1" s="1"/>
  <c r="O159" i="2"/>
  <c r="G145" i="1" s="1"/>
  <c r="O157" i="2"/>
  <c r="G143" i="1" s="1"/>
  <c r="O155" i="2"/>
  <c r="G141" i="1" s="1"/>
  <c r="O153" i="2"/>
  <c r="G139" i="1" s="1"/>
  <c r="O151" i="2"/>
  <c r="G137" i="1" s="1"/>
  <c r="O149" i="2"/>
  <c r="O147" i="2"/>
  <c r="O145" i="2"/>
  <c r="O119" i="2"/>
  <c r="P119" i="2" s="1"/>
  <c r="M79" i="2"/>
  <c r="O85" i="2"/>
  <c r="P85" i="2" s="1"/>
  <c r="O81" i="2"/>
  <c r="P81" i="2" s="1"/>
  <c r="O115" i="2"/>
  <c r="P115" i="2" s="1"/>
  <c r="M103" i="2"/>
  <c r="O93" i="2"/>
  <c r="P93" i="2" s="1"/>
  <c r="O87" i="2"/>
  <c r="P87" i="2" s="1"/>
  <c r="O143" i="2"/>
  <c r="P143" i="2" s="1"/>
  <c r="O127" i="2"/>
  <c r="P127" i="2" s="1"/>
  <c r="O111" i="2"/>
  <c r="P111" i="2" s="1"/>
  <c r="O88" i="2"/>
  <c r="G74" i="1" s="1"/>
  <c r="O102" i="2"/>
  <c r="G88" i="1" s="1"/>
  <c r="O139" i="2"/>
  <c r="P139" i="2" s="1"/>
  <c r="O123" i="2"/>
  <c r="P123" i="2" s="1"/>
  <c r="O109" i="2"/>
  <c r="P109" i="2" s="1"/>
  <c r="O86" i="2"/>
  <c r="P86" i="2" s="1"/>
  <c r="O112" i="2"/>
  <c r="G98" i="1" s="1"/>
  <c r="G96" i="1"/>
  <c r="P99" i="2"/>
  <c r="G85" i="1"/>
  <c r="O107" i="2"/>
  <c r="O91" i="2"/>
  <c r="P104" i="2"/>
  <c r="M99" i="2"/>
  <c r="P96" i="2"/>
  <c r="G59" i="1"/>
  <c r="O106" i="2"/>
  <c r="O98" i="2"/>
  <c r="O90" i="2"/>
  <c r="G81" i="1"/>
  <c r="O71" i="2"/>
  <c r="O141" i="2"/>
  <c r="O137" i="2"/>
  <c r="O133" i="2"/>
  <c r="O129" i="2"/>
  <c r="O125" i="2"/>
  <c r="O121" i="2"/>
  <c r="O117" i="2"/>
  <c r="O113" i="2"/>
  <c r="O108" i="2"/>
  <c r="O105" i="2"/>
  <c r="O100" i="2"/>
  <c r="O97" i="2"/>
  <c r="O92" i="2"/>
  <c r="O89" i="2"/>
  <c r="G89" i="1"/>
  <c r="G113" i="1"/>
  <c r="G52" i="1"/>
  <c r="G87" i="1"/>
  <c r="G65" i="1"/>
  <c r="O140" i="2"/>
  <c r="O134" i="2"/>
  <c r="O128" i="2"/>
  <c r="O124" i="2"/>
  <c r="O120" i="2"/>
  <c r="O118" i="2"/>
  <c r="O116" i="2"/>
  <c r="O114" i="2"/>
  <c r="O84" i="2"/>
  <c r="O142" i="2"/>
  <c r="O138" i="2"/>
  <c r="O136" i="2"/>
  <c r="O132" i="2"/>
  <c r="O130" i="2"/>
  <c r="O126" i="2"/>
  <c r="O122" i="2"/>
  <c r="O83" i="2"/>
  <c r="M73" i="2"/>
  <c r="O75" i="2"/>
  <c r="O77" i="2"/>
  <c r="O68" i="2"/>
  <c r="O82" i="2"/>
  <c r="O80" i="2"/>
  <c r="O78" i="2"/>
  <c r="O76" i="2"/>
  <c r="O74" i="2"/>
  <c r="O72" i="2"/>
  <c r="O70" i="2"/>
  <c r="O67" i="2"/>
  <c r="O69" i="2"/>
  <c r="M66" i="2"/>
  <c r="O65" i="2"/>
  <c r="O64" i="2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3" i="1"/>
  <c r="J3" i="1"/>
  <c r="J2" i="1"/>
  <c r="I2" i="1"/>
  <c r="D2" i="1"/>
  <c r="B4" i="1"/>
  <c r="C4" i="1"/>
  <c r="A4" i="1" s="1"/>
  <c r="D4" i="1"/>
  <c r="E4" i="1"/>
  <c r="F4" i="1"/>
  <c r="H4" i="1"/>
  <c r="B5" i="1"/>
  <c r="C5" i="1"/>
  <c r="A5" i="1" s="1"/>
  <c r="D5" i="1"/>
  <c r="E5" i="1"/>
  <c r="F5" i="1"/>
  <c r="H5" i="1"/>
  <c r="B6" i="1"/>
  <c r="C6" i="1"/>
  <c r="A6" i="1" s="1"/>
  <c r="D6" i="1"/>
  <c r="E6" i="1"/>
  <c r="F6" i="1"/>
  <c r="H6" i="1"/>
  <c r="B7" i="1"/>
  <c r="C7" i="1"/>
  <c r="A7" i="1" s="1"/>
  <c r="D7" i="1"/>
  <c r="E7" i="1"/>
  <c r="F7" i="1"/>
  <c r="H7" i="1"/>
  <c r="B8" i="1"/>
  <c r="C8" i="1"/>
  <c r="A8" i="1" s="1"/>
  <c r="D8" i="1"/>
  <c r="E8" i="1"/>
  <c r="F8" i="1"/>
  <c r="H8" i="1"/>
  <c r="B9" i="1"/>
  <c r="C9" i="1"/>
  <c r="A9" i="1" s="1"/>
  <c r="D9" i="1"/>
  <c r="E9" i="1"/>
  <c r="F9" i="1"/>
  <c r="H9" i="1"/>
  <c r="B10" i="1"/>
  <c r="C10" i="1"/>
  <c r="A10" i="1" s="1"/>
  <c r="D10" i="1"/>
  <c r="E10" i="1"/>
  <c r="F10" i="1"/>
  <c r="H10" i="1"/>
  <c r="B11" i="1"/>
  <c r="C11" i="1"/>
  <c r="A11" i="1" s="1"/>
  <c r="D11" i="1"/>
  <c r="E11" i="1"/>
  <c r="F11" i="1"/>
  <c r="H11" i="1"/>
  <c r="B12" i="1"/>
  <c r="C12" i="1"/>
  <c r="A12" i="1" s="1"/>
  <c r="D12" i="1"/>
  <c r="E12" i="1"/>
  <c r="F12" i="1"/>
  <c r="H12" i="1"/>
  <c r="B13" i="1"/>
  <c r="C13" i="1"/>
  <c r="A13" i="1" s="1"/>
  <c r="D13" i="1"/>
  <c r="E13" i="1"/>
  <c r="F13" i="1"/>
  <c r="H13" i="1"/>
  <c r="B14" i="1"/>
  <c r="C14" i="1"/>
  <c r="A14" i="1" s="1"/>
  <c r="D14" i="1"/>
  <c r="E14" i="1"/>
  <c r="F14" i="1"/>
  <c r="H14" i="1"/>
  <c r="B15" i="1"/>
  <c r="C15" i="1"/>
  <c r="A15" i="1" s="1"/>
  <c r="D15" i="1"/>
  <c r="E15" i="1"/>
  <c r="F15" i="1"/>
  <c r="H15" i="1"/>
  <c r="B16" i="1"/>
  <c r="C16" i="1"/>
  <c r="A16" i="1" s="1"/>
  <c r="D16" i="1"/>
  <c r="E16" i="1"/>
  <c r="F16" i="1"/>
  <c r="H16" i="1"/>
  <c r="B17" i="1"/>
  <c r="C17" i="1"/>
  <c r="A17" i="1" s="1"/>
  <c r="D17" i="1"/>
  <c r="E17" i="1"/>
  <c r="F17" i="1"/>
  <c r="H17" i="1"/>
  <c r="B18" i="1"/>
  <c r="C18" i="1"/>
  <c r="A18" i="1" s="1"/>
  <c r="D18" i="1"/>
  <c r="E18" i="1"/>
  <c r="F18" i="1"/>
  <c r="H18" i="1"/>
  <c r="B19" i="1"/>
  <c r="C19" i="1"/>
  <c r="A19" i="1" s="1"/>
  <c r="D19" i="1"/>
  <c r="E19" i="1"/>
  <c r="F19" i="1"/>
  <c r="H19" i="1"/>
  <c r="B20" i="1"/>
  <c r="C20" i="1"/>
  <c r="A20" i="1" s="1"/>
  <c r="D20" i="1"/>
  <c r="E20" i="1"/>
  <c r="F20" i="1"/>
  <c r="H20" i="1"/>
  <c r="B21" i="1"/>
  <c r="C21" i="1"/>
  <c r="A21" i="1" s="1"/>
  <c r="D21" i="1"/>
  <c r="E21" i="1"/>
  <c r="F21" i="1"/>
  <c r="H21" i="1"/>
  <c r="B22" i="1"/>
  <c r="C22" i="1"/>
  <c r="A22" i="1" s="1"/>
  <c r="D22" i="1"/>
  <c r="E22" i="1"/>
  <c r="F22" i="1"/>
  <c r="H22" i="1"/>
  <c r="B23" i="1"/>
  <c r="C23" i="1"/>
  <c r="A23" i="1" s="1"/>
  <c r="D23" i="1"/>
  <c r="E23" i="1"/>
  <c r="F23" i="1"/>
  <c r="H23" i="1"/>
  <c r="B24" i="1"/>
  <c r="C24" i="1"/>
  <c r="A24" i="1" s="1"/>
  <c r="D24" i="1"/>
  <c r="E24" i="1"/>
  <c r="F24" i="1"/>
  <c r="H24" i="1"/>
  <c r="B25" i="1"/>
  <c r="C25" i="1"/>
  <c r="A25" i="1" s="1"/>
  <c r="D25" i="1"/>
  <c r="E25" i="1"/>
  <c r="F25" i="1"/>
  <c r="H25" i="1"/>
  <c r="B26" i="1"/>
  <c r="C26" i="1"/>
  <c r="A26" i="1" s="1"/>
  <c r="D26" i="1"/>
  <c r="E26" i="1"/>
  <c r="F26" i="1"/>
  <c r="H26" i="1"/>
  <c r="B27" i="1"/>
  <c r="C27" i="1"/>
  <c r="A27" i="1" s="1"/>
  <c r="D27" i="1"/>
  <c r="E27" i="1"/>
  <c r="F27" i="1"/>
  <c r="H27" i="1"/>
  <c r="B28" i="1"/>
  <c r="C28" i="1"/>
  <c r="A28" i="1" s="1"/>
  <c r="D28" i="1"/>
  <c r="E28" i="1"/>
  <c r="F28" i="1"/>
  <c r="H28" i="1"/>
  <c r="B29" i="1"/>
  <c r="C29" i="1"/>
  <c r="A29" i="1" s="1"/>
  <c r="D29" i="1"/>
  <c r="E29" i="1"/>
  <c r="F29" i="1"/>
  <c r="H29" i="1"/>
  <c r="B30" i="1"/>
  <c r="C30" i="1"/>
  <c r="A30" i="1" s="1"/>
  <c r="D30" i="1"/>
  <c r="E30" i="1"/>
  <c r="F30" i="1"/>
  <c r="H30" i="1"/>
  <c r="B31" i="1"/>
  <c r="C31" i="1"/>
  <c r="A31" i="1" s="1"/>
  <c r="D31" i="1"/>
  <c r="E31" i="1"/>
  <c r="F31" i="1"/>
  <c r="H31" i="1"/>
  <c r="B32" i="1"/>
  <c r="C32" i="1"/>
  <c r="A32" i="1" s="1"/>
  <c r="D32" i="1"/>
  <c r="E32" i="1"/>
  <c r="F32" i="1"/>
  <c r="H32" i="1"/>
  <c r="B33" i="1"/>
  <c r="C33" i="1"/>
  <c r="A33" i="1" s="1"/>
  <c r="D33" i="1"/>
  <c r="E33" i="1"/>
  <c r="F33" i="1"/>
  <c r="H33" i="1"/>
  <c r="B34" i="1"/>
  <c r="C34" i="1"/>
  <c r="A34" i="1" s="1"/>
  <c r="D34" i="1"/>
  <c r="E34" i="1"/>
  <c r="F34" i="1"/>
  <c r="H34" i="1"/>
  <c r="B35" i="1"/>
  <c r="C35" i="1"/>
  <c r="A35" i="1" s="1"/>
  <c r="D35" i="1"/>
  <c r="E35" i="1"/>
  <c r="F35" i="1"/>
  <c r="H35" i="1"/>
  <c r="B36" i="1"/>
  <c r="C36" i="1"/>
  <c r="A36" i="1" s="1"/>
  <c r="D36" i="1"/>
  <c r="E36" i="1"/>
  <c r="F36" i="1"/>
  <c r="H36" i="1"/>
  <c r="B37" i="1"/>
  <c r="C37" i="1"/>
  <c r="A37" i="1" s="1"/>
  <c r="D37" i="1"/>
  <c r="E37" i="1"/>
  <c r="F37" i="1"/>
  <c r="H37" i="1"/>
  <c r="B38" i="1"/>
  <c r="C38" i="1"/>
  <c r="A38" i="1" s="1"/>
  <c r="D38" i="1"/>
  <c r="E38" i="1"/>
  <c r="F38" i="1"/>
  <c r="H38" i="1"/>
  <c r="B39" i="1"/>
  <c r="C39" i="1"/>
  <c r="A39" i="1" s="1"/>
  <c r="D39" i="1"/>
  <c r="E39" i="1"/>
  <c r="F39" i="1"/>
  <c r="H39" i="1"/>
  <c r="B40" i="1"/>
  <c r="C40" i="1"/>
  <c r="A40" i="1" s="1"/>
  <c r="D40" i="1"/>
  <c r="E40" i="1"/>
  <c r="F40" i="1"/>
  <c r="H40" i="1"/>
  <c r="B41" i="1"/>
  <c r="C41" i="1"/>
  <c r="A41" i="1" s="1"/>
  <c r="D41" i="1"/>
  <c r="E41" i="1"/>
  <c r="F41" i="1"/>
  <c r="H41" i="1"/>
  <c r="B42" i="1"/>
  <c r="C42" i="1"/>
  <c r="A42" i="1" s="1"/>
  <c r="D42" i="1"/>
  <c r="E42" i="1"/>
  <c r="F42" i="1"/>
  <c r="H42" i="1"/>
  <c r="B43" i="1"/>
  <c r="C43" i="1"/>
  <c r="A43" i="1" s="1"/>
  <c r="D43" i="1"/>
  <c r="E43" i="1"/>
  <c r="F43" i="1"/>
  <c r="H43" i="1"/>
  <c r="B44" i="1"/>
  <c r="C44" i="1"/>
  <c r="A44" i="1" s="1"/>
  <c r="D44" i="1"/>
  <c r="E44" i="1"/>
  <c r="F44" i="1"/>
  <c r="H44" i="1"/>
  <c r="B45" i="1"/>
  <c r="C45" i="1"/>
  <c r="A45" i="1" s="1"/>
  <c r="D45" i="1"/>
  <c r="E45" i="1"/>
  <c r="F45" i="1"/>
  <c r="H45" i="1"/>
  <c r="B46" i="1"/>
  <c r="C46" i="1"/>
  <c r="A46" i="1" s="1"/>
  <c r="D46" i="1"/>
  <c r="E46" i="1"/>
  <c r="F46" i="1"/>
  <c r="H46" i="1"/>
  <c r="B47" i="1"/>
  <c r="C47" i="1"/>
  <c r="A47" i="1" s="1"/>
  <c r="D47" i="1"/>
  <c r="E47" i="1"/>
  <c r="F47" i="1"/>
  <c r="H47" i="1"/>
  <c r="B48" i="1"/>
  <c r="C48" i="1"/>
  <c r="A48" i="1" s="1"/>
  <c r="D48" i="1"/>
  <c r="E48" i="1"/>
  <c r="F48" i="1"/>
  <c r="H48" i="1"/>
  <c r="B49" i="1"/>
  <c r="C49" i="1"/>
  <c r="A49" i="1" s="1"/>
  <c r="D49" i="1"/>
  <c r="E49" i="1"/>
  <c r="F49" i="1"/>
  <c r="H49" i="1"/>
  <c r="H3" i="1"/>
  <c r="H2" i="1"/>
  <c r="O63" i="2"/>
  <c r="M63" i="2"/>
  <c r="O62" i="2"/>
  <c r="M62" i="2"/>
  <c r="O61" i="2"/>
  <c r="M61" i="2"/>
  <c r="O60" i="2"/>
  <c r="M60" i="2"/>
  <c r="O59" i="2"/>
  <c r="M59" i="2"/>
  <c r="O58" i="2"/>
  <c r="M58" i="2"/>
  <c r="O57" i="2"/>
  <c r="M57" i="2"/>
  <c r="O56" i="2"/>
  <c r="M56" i="2"/>
  <c r="O55" i="2"/>
  <c r="G41" i="1" s="1"/>
  <c r="M55" i="2"/>
  <c r="O54" i="2"/>
  <c r="M54" i="2"/>
  <c r="O53" i="2"/>
  <c r="M53" i="2"/>
  <c r="O52" i="2"/>
  <c r="M52" i="2"/>
  <c r="O51" i="2"/>
  <c r="M51" i="2"/>
  <c r="O50" i="2"/>
  <c r="M50" i="2"/>
  <c r="O49" i="2"/>
  <c r="M49" i="2"/>
  <c r="O48" i="2"/>
  <c r="M48" i="2"/>
  <c r="O47" i="2"/>
  <c r="M47" i="2"/>
  <c r="O46" i="2"/>
  <c r="M46" i="2"/>
  <c r="O45" i="2"/>
  <c r="G31" i="1" s="1"/>
  <c r="M45" i="2"/>
  <c r="O44" i="2"/>
  <c r="M44" i="2"/>
  <c r="O43" i="2"/>
  <c r="G29" i="1" s="1"/>
  <c r="M43" i="2"/>
  <c r="O42" i="2"/>
  <c r="M42" i="2"/>
  <c r="O41" i="2"/>
  <c r="M41" i="2"/>
  <c r="O40" i="2"/>
  <c r="M40" i="2"/>
  <c r="O39" i="2"/>
  <c r="M39" i="2"/>
  <c r="O38" i="2"/>
  <c r="M38" i="2"/>
  <c r="O37" i="2"/>
  <c r="M37" i="2"/>
  <c r="O36" i="2"/>
  <c r="M36" i="2"/>
  <c r="O35" i="2"/>
  <c r="G21" i="1" s="1"/>
  <c r="M35" i="2"/>
  <c r="O34" i="2"/>
  <c r="M34" i="2"/>
  <c r="O33" i="2"/>
  <c r="M33" i="2"/>
  <c r="O32" i="2"/>
  <c r="M32" i="2"/>
  <c r="O31" i="2"/>
  <c r="M31" i="2"/>
  <c r="O30" i="2"/>
  <c r="M30" i="2"/>
  <c r="O29" i="2"/>
  <c r="O28" i="2"/>
  <c r="O27" i="2"/>
  <c r="O26" i="2"/>
  <c r="O25" i="2"/>
  <c r="O24" i="2"/>
  <c r="O23" i="2"/>
  <c r="G9" i="1" s="1"/>
  <c r="O22" i="2"/>
  <c r="O21" i="2"/>
  <c r="O20" i="2"/>
  <c r="O19" i="2"/>
  <c r="O18" i="2"/>
  <c r="O17" i="2"/>
  <c r="L16" i="2"/>
  <c r="O16" i="2" s="1"/>
  <c r="M7" i="2"/>
  <c r="F3" i="1"/>
  <c r="E3" i="1"/>
  <c r="D3" i="1"/>
  <c r="C3" i="1"/>
  <c r="B3" i="1"/>
  <c r="F2" i="1"/>
  <c r="E2" i="1"/>
  <c r="C2" i="1"/>
  <c r="B2" i="1"/>
  <c r="P347" i="2" l="1"/>
  <c r="G333" i="1"/>
  <c r="P174" i="2"/>
  <c r="P211" i="2"/>
  <c r="G197" i="1"/>
  <c r="A3" i="1"/>
  <c r="P88" i="2"/>
  <c r="P158" i="2"/>
  <c r="P203" i="2"/>
  <c r="G189" i="1"/>
  <c r="G80" i="1"/>
  <c r="G196" i="1"/>
  <c r="P210" i="2"/>
  <c r="A2" i="1"/>
  <c r="G188" i="1"/>
  <c r="P202" i="2"/>
  <c r="P199" i="2"/>
  <c r="G185" i="1"/>
  <c r="G170" i="1"/>
  <c r="P184" i="2"/>
  <c r="G186" i="1"/>
  <c r="P200" i="2"/>
  <c r="P191" i="2"/>
  <c r="G177" i="1"/>
  <c r="G180" i="1"/>
  <c r="P194" i="2"/>
  <c r="G79" i="1"/>
  <c r="P146" i="2"/>
  <c r="G132" i="1"/>
  <c r="G121" i="1"/>
  <c r="G178" i="1"/>
  <c r="P192" i="2"/>
  <c r="P190" i="2"/>
  <c r="G176" i="1"/>
  <c r="P180" i="2"/>
  <c r="G166" i="1"/>
  <c r="G72" i="1"/>
  <c r="G117" i="1"/>
  <c r="P196" i="2"/>
  <c r="G182" i="1"/>
  <c r="P172" i="2"/>
  <c r="G158" i="1"/>
  <c r="G168" i="1"/>
  <c r="P182" i="2"/>
  <c r="P144" i="2"/>
  <c r="G130" i="1"/>
  <c r="P152" i="2"/>
  <c r="G138" i="1"/>
  <c r="P176" i="2"/>
  <c r="G162" i="1"/>
  <c r="P175" i="2"/>
  <c r="G161" i="1"/>
  <c r="P156" i="2"/>
  <c r="G142" i="1"/>
  <c r="P198" i="2"/>
  <c r="G184" i="1"/>
  <c r="G129" i="1"/>
  <c r="P112" i="2"/>
  <c r="P177" i="2"/>
  <c r="G163" i="1"/>
  <c r="P160" i="2"/>
  <c r="G146" i="1"/>
  <c r="P148" i="2"/>
  <c r="G134" i="1"/>
  <c r="G71" i="1"/>
  <c r="G105" i="1"/>
  <c r="P179" i="2"/>
  <c r="G165" i="1"/>
  <c r="P164" i="2"/>
  <c r="G150" i="1"/>
  <c r="P188" i="2"/>
  <c r="G174" i="1"/>
  <c r="P168" i="2"/>
  <c r="G154" i="1"/>
  <c r="P151" i="2"/>
  <c r="P167" i="2"/>
  <c r="P153" i="2"/>
  <c r="P169" i="2"/>
  <c r="P155" i="2"/>
  <c r="P171" i="2"/>
  <c r="P157" i="2"/>
  <c r="P173" i="2"/>
  <c r="P159" i="2"/>
  <c r="P145" i="2"/>
  <c r="G131" i="1"/>
  <c r="P161" i="2"/>
  <c r="G133" i="1"/>
  <c r="P147" i="2"/>
  <c r="P163" i="2"/>
  <c r="G135" i="1"/>
  <c r="P149" i="2"/>
  <c r="P165" i="2"/>
  <c r="G101" i="1"/>
  <c r="G73" i="1"/>
  <c r="G67" i="1"/>
  <c r="G109" i="1"/>
  <c r="P102" i="2"/>
  <c r="G95" i="1"/>
  <c r="G125" i="1"/>
  <c r="G97" i="1"/>
  <c r="P80" i="2"/>
  <c r="G66" i="1"/>
  <c r="P126" i="2"/>
  <c r="G112" i="1"/>
  <c r="P116" i="2"/>
  <c r="G102" i="1"/>
  <c r="G78" i="1"/>
  <c r="P92" i="2"/>
  <c r="P125" i="2"/>
  <c r="G111" i="1"/>
  <c r="P90" i="2"/>
  <c r="G76" i="1"/>
  <c r="P69" i="2"/>
  <c r="G55" i="1"/>
  <c r="P82" i="2"/>
  <c r="G68" i="1"/>
  <c r="P130" i="2"/>
  <c r="G116" i="1"/>
  <c r="P118" i="2"/>
  <c r="G104" i="1"/>
  <c r="P97" i="2"/>
  <c r="G83" i="1"/>
  <c r="P129" i="2"/>
  <c r="G115" i="1"/>
  <c r="G84" i="1"/>
  <c r="P98" i="2"/>
  <c r="P67" i="2"/>
  <c r="G53" i="1"/>
  <c r="P68" i="2"/>
  <c r="G54" i="1"/>
  <c r="P132" i="2"/>
  <c r="G118" i="1"/>
  <c r="P120" i="2"/>
  <c r="G106" i="1"/>
  <c r="P100" i="2"/>
  <c r="G86" i="1"/>
  <c r="P133" i="2"/>
  <c r="G119" i="1"/>
  <c r="P106" i="2"/>
  <c r="G92" i="1"/>
  <c r="P70" i="2"/>
  <c r="G56" i="1"/>
  <c r="P77" i="2"/>
  <c r="G63" i="1"/>
  <c r="P136" i="2"/>
  <c r="G122" i="1"/>
  <c r="P124" i="2"/>
  <c r="G110" i="1"/>
  <c r="P105" i="2"/>
  <c r="G91" i="1"/>
  <c r="P137" i="2"/>
  <c r="G123" i="1"/>
  <c r="P128" i="2"/>
  <c r="G114" i="1"/>
  <c r="P74" i="2"/>
  <c r="G60" i="1"/>
  <c r="P142" i="2"/>
  <c r="G128" i="1"/>
  <c r="P134" i="2"/>
  <c r="G120" i="1"/>
  <c r="P113" i="2"/>
  <c r="G99" i="1"/>
  <c r="P71" i="2"/>
  <c r="G57" i="1"/>
  <c r="P107" i="2"/>
  <c r="G93" i="1"/>
  <c r="P75" i="2"/>
  <c r="G61" i="1"/>
  <c r="P141" i="2"/>
  <c r="G127" i="1"/>
  <c r="P64" i="2"/>
  <c r="G50" i="1"/>
  <c r="P76" i="2"/>
  <c r="G62" i="1"/>
  <c r="P83" i="2"/>
  <c r="G69" i="1"/>
  <c r="P84" i="2"/>
  <c r="G70" i="1"/>
  <c r="P140" i="2"/>
  <c r="G126" i="1"/>
  <c r="P117" i="2"/>
  <c r="G103" i="1"/>
  <c r="P72" i="2"/>
  <c r="G58" i="1"/>
  <c r="P138" i="2"/>
  <c r="G124" i="1"/>
  <c r="G94" i="1"/>
  <c r="P108" i="2"/>
  <c r="P91" i="2"/>
  <c r="G77" i="1"/>
  <c r="P65" i="2"/>
  <c r="G51" i="1"/>
  <c r="P78" i="2"/>
  <c r="G64" i="1"/>
  <c r="P122" i="2"/>
  <c r="G108" i="1"/>
  <c r="P114" i="2"/>
  <c r="G100" i="1"/>
  <c r="P89" i="2"/>
  <c r="G75" i="1"/>
  <c r="P121" i="2"/>
  <c r="G107" i="1"/>
  <c r="P18" i="2"/>
  <c r="G4" i="1"/>
  <c r="P19" i="2"/>
  <c r="G5" i="1"/>
  <c r="P20" i="2"/>
  <c r="G6" i="1"/>
  <c r="P21" i="2"/>
  <c r="G7" i="1"/>
  <c r="P22" i="2"/>
  <c r="G8" i="1"/>
  <c r="P24" i="2"/>
  <c r="G10" i="1"/>
  <c r="P25" i="2"/>
  <c r="G11" i="1"/>
  <c r="P26" i="2"/>
  <c r="G12" i="1"/>
  <c r="P27" i="2"/>
  <c r="G13" i="1"/>
  <c r="P28" i="2"/>
  <c r="G14" i="1"/>
  <c r="P29" i="2"/>
  <c r="G15" i="1"/>
  <c r="P30" i="2"/>
  <c r="G16" i="1"/>
  <c r="P31" i="2"/>
  <c r="G17" i="1"/>
  <c r="P32" i="2"/>
  <c r="G18" i="1"/>
  <c r="P33" i="2"/>
  <c r="G19" i="1"/>
  <c r="P34" i="2"/>
  <c r="G20" i="1"/>
  <c r="P36" i="2"/>
  <c r="G22" i="1"/>
  <c r="P37" i="2"/>
  <c r="G23" i="1"/>
  <c r="P38" i="2"/>
  <c r="G24" i="1"/>
  <c r="P39" i="2"/>
  <c r="G25" i="1"/>
  <c r="P40" i="2"/>
  <c r="G26" i="1"/>
  <c r="P41" i="2"/>
  <c r="G27" i="1"/>
  <c r="P42" i="2"/>
  <c r="G28" i="1"/>
  <c r="P44" i="2"/>
  <c r="G30" i="1"/>
  <c r="P46" i="2"/>
  <c r="G32" i="1"/>
  <c r="P47" i="2"/>
  <c r="G33" i="1"/>
  <c r="P48" i="2"/>
  <c r="G34" i="1"/>
  <c r="P49" i="2"/>
  <c r="G35" i="1"/>
  <c r="P50" i="2"/>
  <c r="G36" i="1"/>
  <c r="P51" i="2"/>
  <c r="G37" i="1"/>
  <c r="P52" i="2"/>
  <c r="G38" i="1"/>
  <c r="P53" i="2"/>
  <c r="G39" i="1"/>
  <c r="P54" i="2"/>
  <c r="G40" i="1"/>
  <c r="P56" i="2"/>
  <c r="G42" i="1"/>
  <c r="P57" i="2"/>
  <c r="G43" i="1"/>
  <c r="P58" i="2"/>
  <c r="G44" i="1"/>
  <c r="P59" i="2"/>
  <c r="G45" i="1"/>
  <c r="P60" i="2"/>
  <c r="G46" i="1"/>
  <c r="P61" i="2"/>
  <c r="G47" i="1"/>
  <c r="P62" i="2"/>
  <c r="G48" i="1"/>
  <c r="P63" i="2"/>
  <c r="G49" i="1"/>
  <c r="P23" i="2"/>
  <c r="P45" i="2"/>
  <c r="P35" i="2"/>
  <c r="P43" i="2"/>
  <c r="P55" i="2"/>
  <c r="P16" i="2"/>
  <c r="G2" i="1"/>
  <c r="P17" i="2"/>
  <c r="G3" i="1"/>
  <c r="M16" i="2"/>
  <c r="P6" i="2" l="1"/>
  <c r="M6" i="2"/>
  <c r="M8" i="2" s="1"/>
  <c r="P9" i="2" l="1"/>
  <c r="P7" i="2"/>
  <c r="P8" i="2" s="1"/>
</calcChain>
</file>

<file path=xl/sharedStrings.xml><?xml version="1.0" encoding="utf-8"?>
<sst xmlns="http://schemas.openxmlformats.org/spreadsheetml/2006/main" count="95" uniqueCount="86">
  <si>
    <t>SKU</t>
  </si>
  <si>
    <t>Product Name</t>
  </si>
  <si>
    <t>Part Number</t>
  </si>
  <si>
    <t>Description</t>
  </si>
  <si>
    <t>Qty</t>
  </si>
  <si>
    <t>Cost</t>
  </si>
  <si>
    <t>Price</t>
  </si>
  <si>
    <t>Category</t>
  </si>
  <si>
    <t>start date</t>
  </si>
  <si>
    <t>End date</t>
  </si>
  <si>
    <t>Business Case Analysis</t>
  </si>
  <si>
    <t>Date</t>
  </si>
  <si>
    <t>Customer Name</t>
  </si>
  <si>
    <t>Customer Payment terms</t>
  </si>
  <si>
    <t xml:space="preserve">VAT   </t>
  </si>
  <si>
    <t>No</t>
  </si>
  <si>
    <t>yes</t>
  </si>
  <si>
    <t>Total Net Cost</t>
  </si>
  <si>
    <t>Total Net Sales</t>
  </si>
  <si>
    <t>Distributor Name</t>
  </si>
  <si>
    <t>Supplier Payment Terms</t>
  </si>
  <si>
    <t>Vat Value</t>
  </si>
  <si>
    <t>Gross Cost</t>
  </si>
  <si>
    <t>Gross Sale</t>
  </si>
  <si>
    <t>Cost Currency</t>
  </si>
  <si>
    <t>Total Margin</t>
  </si>
  <si>
    <t>Sales Currency</t>
  </si>
  <si>
    <t>NO.</t>
  </si>
  <si>
    <t>Product</t>
  </si>
  <si>
    <t>Satrt Date</t>
  </si>
  <si>
    <t>End Date</t>
  </si>
  <si>
    <t>Vendor</t>
  </si>
  <si>
    <t xml:space="preserve">Description </t>
  </si>
  <si>
    <t>Quantity</t>
  </si>
  <si>
    <t>Unit cost</t>
  </si>
  <si>
    <t>FX</t>
  </si>
  <si>
    <t>Unit cost FX</t>
  </si>
  <si>
    <t>Total Cost</t>
  </si>
  <si>
    <t>%</t>
  </si>
  <si>
    <t>Unit Sales</t>
  </si>
  <si>
    <t>Total Sales</t>
  </si>
  <si>
    <t>Hardware</t>
  </si>
  <si>
    <t>Software</t>
  </si>
  <si>
    <t>New</t>
  </si>
  <si>
    <t>Petrobel</t>
  </si>
  <si>
    <t>Metra</t>
  </si>
  <si>
    <t>USD</t>
  </si>
  <si>
    <t>50% Down Payment, 30% after receiving license, 20% after Final Installation Report</t>
  </si>
  <si>
    <t>As Agreed With METRA</t>
  </si>
  <si>
    <t>12-03-2025</t>
  </si>
  <si>
    <t>12-06-2025</t>
  </si>
  <si>
    <t>Nutanix</t>
  </si>
  <si>
    <t>Nutanix Hardware Platform
    * NX-8150-G9, 1 Node Configuration
    Nutanix Software * Foundation - Hypervisor Agnostic Installer * Controller VM * Prism Management * Starter License Entitlement</t>
  </si>
  <si>
    <t>Intel Xeon-Gold 6548Y+ processor (2.5 GHz/ 32-core/ 250W,Emerald Rapids)</t>
  </si>
  <si>
    <t>Lenovo</t>
  </si>
  <si>
    <t>HP</t>
  </si>
  <si>
    <t>IBM</t>
  </si>
  <si>
    <t>Veeam</t>
  </si>
  <si>
    <t>Storage</t>
  </si>
  <si>
    <t>FortiGate</t>
  </si>
  <si>
    <t>Postgres</t>
  </si>
  <si>
    <t>PaloAlto</t>
  </si>
  <si>
    <t>Fortinet</t>
  </si>
  <si>
    <t>Cisco</t>
  </si>
  <si>
    <t>Juniper</t>
  </si>
  <si>
    <t>Training</t>
  </si>
  <si>
    <t>Vmware</t>
  </si>
  <si>
    <t>Lansweeper</t>
  </si>
  <si>
    <t>Ncomputing</t>
  </si>
  <si>
    <t>Dell</t>
  </si>
  <si>
    <t>Ivanti</t>
  </si>
  <si>
    <t>Tenable</t>
  </si>
  <si>
    <t>CrowdStrike</t>
  </si>
  <si>
    <t>USB</t>
  </si>
  <si>
    <t>Fujitsu</t>
  </si>
  <si>
    <t>Barracuda</t>
  </si>
  <si>
    <t>Netwitness</t>
  </si>
  <si>
    <t>Fortra</t>
  </si>
  <si>
    <t>Netwrix</t>
  </si>
  <si>
    <t>Kaspersky</t>
  </si>
  <si>
    <t>Huawei</t>
  </si>
  <si>
    <t>Xfusion</t>
  </si>
  <si>
    <t>RedHat</t>
  </si>
  <si>
    <t>Trendmicro</t>
  </si>
  <si>
    <t>Tenant</t>
  </si>
  <si>
    <t>Elastic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</si>
</sst>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[$-409]mmmm\ d&quot;, &quot;yyyy;@"/>
  </numFmts>
  <fonts count="16" x14ac:knownFonts="1">
    <font>
      <sz val="11"/>
      <color rgb="FF000000"/>
      <name val="Calibri"/>
      <family val="2"/>
      <charset val="178"/>
    </font>
    <font>
      <sz val="10"/>
      <color theme="1"/>
      <name val="Arial"/>
      <family val="2"/>
      <charset val="1"/>
    </font>
    <font>
      <b/>
      <sz val="16"/>
      <color rgb="FFFFFFFF"/>
      <name val="Arial"/>
      <family val="2"/>
      <charset val="1"/>
    </font>
    <font>
      <sz val="14"/>
      <color rgb="FF00000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4"/>
      <color rgb="FF000000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78"/>
    </font>
    <font>
      <sz val="8"/>
      <name val="Calibri"/>
      <family val="2"/>
      <charset val="178"/>
    </font>
    <font>
      <sz val="14"/>
      <color rgb="FF000000"/>
      <name val="Arial"/>
      <family val="2"/>
    </font>
    <font>
      <sz val="14"/>
      <color rgb="FF000000"/>
      <name val="Arial"/>
      <family val="2"/>
    </font>
    <font>
      <sz val="11"/>
      <color theme="1"/>
      <name val="Calibri"/>
      <family val="2"/>
      <charset val="178"/>
    </font>
    <font>
      <sz val="14"/>
      <color theme="1"/>
      <name val="Arial"/>
      <family val="2"/>
      <charset val="1"/>
    </font>
    <font>
      <sz val="11"/>
      <color theme="0"/>
      <name val="Calibri"/>
      <family val="2"/>
      <charset val="178"/>
    </font>
    <font>
      <sz val="14"/>
      <color theme="0"/>
      <name val="Arial"/>
      <family val="2"/>
      <charset val="1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87182226020086"/>
        <bgColor rgb="FFC0C0C0"/>
      </patternFill>
    </fill>
    <fill>
      <patternFill patternType="solid">
        <fgColor rgb="FF8FAADC"/>
        <bgColor rgb="FF969696"/>
      </patternFill>
    </fill>
    <fill>
      <patternFill patternType="solid">
        <fgColor rgb="FFFFFDB3"/>
        <bgColor rgb="FFFFFF99"/>
      </patternFill>
    </fill>
    <fill>
      <patternFill patternType="solid">
        <fgColor rgb="FF595959"/>
        <bgColor rgb="FF333333"/>
      </patternFill>
    </fill>
    <fill>
      <patternFill patternType="solid">
        <fgColor rgb="FFFFFFFF"/>
        <bgColor rgb="FFFFFDB3"/>
      </patternFill>
    </fill>
    <fill>
      <patternFill patternType="solid">
        <fgColor rgb="FFFFFDB3"/>
        <bgColor rgb="FFFFFDB3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/>
      <diagonal/>
    </border>
  </borders>
  <cellStyleXfs count="3">
    <xf numFmtId="0" fontId="0" fillId="0" borderId="0"/>
    <xf numFmtId="164" fontId="7" fillId="0" borderId="0" applyBorder="0" applyProtection="0"/>
    <xf numFmtId="9" fontId="7" fillId="0" borderId="0" applyBorder="0" applyProtection="0"/>
  </cellStyleXfs>
  <cellXfs count="7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165" fontId="3" fillId="0" borderId="0" xfId="0" applyNumberFormat="1" applyFont="1" applyProtection="1">
      <protection locked="0"/>
    </xf>
    <xf numFmtId="0" fontId="4" fillId="3" borderId="2" xfId="0" applyFont="1" applyFill="1" applyBorder="1"/>
    <xf numFmtId="0" fontId="4" fillId="0" borderId="0" xfId="0" applyFont="1"/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164" fontId="3" fillId="4" borderId="4" xfId="1" applyFont="1" applyFill="1" applyBorder="1" applyAlignment="1" applyProtection="1">
      <alignment horizontal="center" vertical="center"/>
    </xf>
    <xf numFmtId="0" fontId="4" fillId="3" borderId="3" xfId="0" applyFont="1" applyFill="1" applyBorder="1"/>
    <xf numFmtId="0" fontId="3" fillId="4" borderId="5" xfId="0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4" borderId="7" xfId="0" applyFont="1" applyFill="1" applyBorder="1" applyAlignment="1">
      <alignment horizontal="center" vertical="center"/>
    </xf>
    <xf numFmtId="9" fontId="3" fillId="4" borderId="8" xfId="2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164" fontId="3" fillId="0" borderId="0" xfId="1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9" fontId="3" fillId="0" borderId="9" xfId="2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/>
      <protection locked="0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4" borderId="11" xfId="0" applyFont="1" applyFill="1" applyBorder="1" applyAlignment="1" applyProtection="1">
      <alignment horizontal="center"/>
      <protection locked="0"/>
    </xf>
    <xf numFmtId="0" fontId="3" fillId="4" borderId="12" xfId="0" applyFont="1" applyFill="1" applyBorder="1" applyAlignment="1">
      <alignment horizontal="center"/>
    </xf>
    <xf numFmtId="0" fontId="3" fillId="4" borderId="12" xfId="0" applyFont="1" applyFill="1" applyBorder="1" applyAlignment="1" applyProtection="1">
      <alignment horizontal="center"/>
      <protection locked="0"/>
    </xf>
    <xf numFmtId="164" fontId="3" fillId="4" borderId="13" xfId="1" applyFont="1" applyFill="1" applyBorder="1" applyAlignment="1" applyProtection="1">
      <alignment horizontal="center"/>
      <protection locked="0"/>
    </xf>
    <xf numFmtId="9" fontId="3" fillId="4" borderId="14" xfId="2" applyFont="1" applyFill="1" applyBorder="1" applyAlignment="1" applyProtection="1">
      <alignment horizontal="center"/>
    </xf>
    <xf numFmtId="164" fontId="3" fillId="4" borderId="15" xfId="1" applyFont="1" applyFill="1" applyBorder="1" applyAlignment="1" applyProtection="1">
      <alignment horizontal="center"/>
    </xf>
    <xf numFmtId="164" fontId="3" fillId="4" borderId="13" xfId="1" applyFont="1" applyFill="1" applyBorder="1" applyAlignment="1" applyProtection="1">
      <alignment horizontal="center"/>
    </xf>
    <xf numFmtId="0" fontId="3" fillId="0" borderId="0" xfId="0" applyFont="1" applyAlignment="1">
      <alignment horizontal="center"/>
    </xf>
    <xf numFmtId="49" fontId="6" fillId="6" borderId="0" xfId="0" applyNumberFormat="1" applyFont="1" applyFill="1"/>
    <xf numFmtId="0" fontId="3" fillId="4" borderId="16" xfId="0" applyFont="1" applyFill="1" applyBorder="1" applyAlignment="1">
      <alignment horizontal="center"/>
    </xf>
    <xf numFmtId="0" fontId="3" fillId="4" borderId="16" xfId="0" applyFont="1" applyFill="1" applyBorder="1" applyAlignment="1" applyProtection="1">
      <alignment horizontal="center"/>
      <protection locked="0"/>
    </xf>
    <xf numFmtId="1" fontId="3" fillId="4" borderId="17" xfId="0" applyNumberFormat="1" applyFont="1" applyFill="1" applyBorder="1" applyAlignment="1" applyProtection="1">
      <alignment horizontal="center"/>
      <protection locked="0"/>
    </xf>
    <xf numFmtId="164" fontId="3" fillId="4" borderId="18" xfId="1" applyFont="1" applyFill="1" applyBorder="1" applyAlignment="1" applyProtection="1">
      <alignment horizontal="center"/>
      <protection locked="0"/>
    </xf>
    <xf numFmtId="164" fontId="3" fillId="4" borderId="19" xfId="1" applyFont="1" applyFill="1" applyBorder="1" applyAlignment="1" applyProtection="1">
      <alignment horizontal="center"/>
    </xf>
    <xf numFmtId="9" fontId="3" fillId="4" borderId="20" xfId="2" applyFont="1" applyFill="1" applyBorder="1" applyAlignment="1" applyProtection="1">
      <alignment horizontal="center"/>
    </xf>
    <xf numFmtId="164" fontId="3" fillId="4" borderId="21" xfId="1" applyFont="1" applyFill="1" applyBorder="1" applyAlignment="1" applyProtection="1">
      <alignment horizontal="center"/>
      <protection locked="0"/>
    </xf>
    <xf numFmtId="9" fontId="3" fillId="4" borderId="22" xfId="2" applyFont="1" applyFill="1" applyBorder="1" applyAlignment="1" applyProtection="1">
      <alignment horizontal="center"/>
    </xf>
    <xf numFmtId="0" fontId="3" fillId="0" borderId="23" xfId="0" applyFont="1" applyBorder="1" applyAlignment="1">
      <alignment horizontal="center"/>
    </xf>
    <xf numFmtId="0" fontId="3" fillId="4" borderId="15" xfId="0" applyFont="1" applyFill="1" applyBorder="1" applyAlignment="1" applyProtection="1">
      <alignment horizontal="center"/>
      <protection locked="0"/>
    </xf>
    <xf numFmtId="0" fontId="3" fillId="4" borderId="19" xfId="0" applyFont="1" applyFill="1" applyBorder="1" applyAlignment="1" applyProtection="1">
      <alignment horizontal="center"/>
      <protection locked="0"/>
    </xf>
    <xf numFmtId="0" fontId="2" fillId="3" borderId="0" xfId="0" applyFont="1" applyFill="1" applyAlignment="1">
      <alignment vertical="center"/>
    </xf>
    <xf numFmtId="49" fontId="3" fillId="4" borderId="15" xfId="0" applyNumberFormat="1" applyFont="1" applyFill="1" applyBorder="1" applyAlignment="1" applyProtection="1">
      <alignment horizontal="center"/>
      <protection locked="0"/>
    </xf>
    <xf numFmtId="0" fontId="9" fillId="7" borderId="30" xfId="0" applyFont="1" applyFill="1" applyBorder="1" applyAlignment="1">
      <alignment horizontal="center" wrapText="1"/>
    </xf>
    <xf numFmtId="0" fontId="9" fillId="7" borderId="30" xfId="0" applyFont="1" applyFill="1" applyBorder="1" applyAlignment="1">
      <alignment horizontal="center"/>
    </xf>
    <xf numFmtId="1" fontId="10" fillId="7" borderId="31" xfId="0" applyNumberFormat="1" applyFont="1" applyFill="1" applyBorder="1" applyAlignment="1">
      <alignment horizontal="center"/>
    </xf>
    <xf numFmtId="0" fontId="10" fillId="7" borderId="30" xfId="0" applyFont="1" applyFill="1" applyBorder="1" applyAlignment="1">
      <alignment horizontal="center" wrapText="1"/>
    </xf>
    <xf numFmtId="0" fontId="10" fillId="7" borderId="30" xfId="0" applyFont="1" applyFill="1" applyBorder="1" applyAlignment="1">
      <alignment horizontal="center"/>
    </xf>
    <xf numFmtId="1" fontId="10" fillId="7" borderId="32" xfId="0" applyNumberFormat="1" applyFont="1" applyFill="1" applyBorder="1" applyAlignment="1">
      <alignment horizontal="center"/>
    </xf>
    <xf numFmtId="0" fontId="1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0" fontId="14" fillId="0" borderId="0" xfId="0" applyFont="1" applyAlignment="1" applyProtection="1">
      <alignment horizontal="left" vertical="center"/>
      <protection locked="0"/>
    </xf>
    <xf numFmtId="0" fontId="14" fillId="0" borderId="0" xfId="0" applyFont="1" applyProtection="1">
      <protection locked="0"/>
    </xf>
    <xf numFmtId="0" fontId="15" fillId="0" borderId="0" xfId="0" applyFont="1"/>
    <xf numFmtId="0" fontId="4" fillId="3" borderId="24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165" fontId="3" fillId="4" borderId="26" xfId="0" applyNumberFormat="1" applyFont="1" applyFill="1" applyBorder="1" applyAlignment="1" applyProtection="1">
      <alignment horizontal="center"/>
      <protection locked="0"/>
    </xf>
    <xf numFmtId="165" fontId="3" fillId="4" borderId="27" xfId="0" applyNumberFormat="1" applyFont="1" applyFill="1" applyBorder="1" applyAlignment="1" applyProtection="1">
      <alignment horizontal="center"/>
      <protection locked="0"/>
    </xf>
    <xf numFmtId="0" fontId="4" fillId="3" borderId="26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3" fillId="4" borderId="26" xfId="0" applyFont="1" applyFill="1" applyBorder="1" applyAlignment="1" applyProtection="1">
      <alignment horizontal="center"/>
      <protection locked="0"/>
    </xf>
    <xf numFmtId="0" fontId="3" fillId="4" borderId="27" xfId="0" applyFont="1" applyFill="1" applyBorder="1" applyAlignment="1" applyProtection="1">
      <alignment horizontal="center"/>
      <protection locked="0"/>
    </xf>
    <xf numFmtId="0" fontId="3" fillId="4" borderId="28" xfId="0" applyFont="1" applyFill="1" applyBorder="1" applyAlignment="1" applyProtection="1">
      <alignment horizontal="center"/>
      <protection locked="0"/>
    </xf>
    <xf numFmtId="0" fontId="3" fillId="4" borderId="29" xfId="0" applyFont="1" applyFill="1" applyBorder="1" applyAlignment="1" applyProtection="1">
      <alignment horizontal="center"/>
      <protection locked="0"/>
    </xf>
    <xf numFmtId="164" fontId="3" fillId="4" borderId="33" xfId="1" applyFont="1" applyFill="1" applyBorder="1" applyAlignment="1" applyProtection="1">
      <alignment horizontal="center"/>
      <protection locked="0"/>
    </xf>
    <xf numFmtId="164" fontId="3" fillId="4" borderId="34" xfId="1" applyFont="1" applyFill="1" applyBorder="1" applyAlignment="1" applyProtection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charset val="1"/>
        <scheme val="none"/>
      </font>
      <numFmt numFmtId="164" formatCode="_-* #,##0.00_-;\-* #,##0.00_-;_-* \-??_-;_-@_-"/>
      <fill>
        <patternFill patternType="solid">
          <fgColor rgb="FFFFFF99"/>
          <bgColor rgb="FFFFFDB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charset val="1"/>
        <scheme val="none"/>
      </font>
      <numFmt numFmtId="164" formatCode="_-* #,##0.00_-;\-* #,##0.00_-;_-* \-??_-;_-@_-"/>
      <fill>
        <patternFill patternType="solid">
          <fgColor rgb="FFFFFF99"/>
          <bgColor rgb="FFFFFDB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hair">
          <color auto="1"/>
        </top>
        <bottom/>
      </border>
      <protection locked="0" hidden="0"/>
    </dxf>
    <dxf>
      <protection locked="0" hidden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DB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L15:M350" totalsRowShown="0" totalsRowDxfId="2">
  <autoFilter ref="L15:M350" xr:uid="{00000000-0009-0000-0100-000002000000}"/>
  <tableColumns count="2">
    <tableColumn id="1" xr3:uid="{00000000-0010-0000-0100-000001000000}" name="Unit cost FX" totalsRowDxfId="1"/>
    <tableColumn id="2" xr3:uid="{00000000-0010-0000-0100-000002000000}" name="Total Cost" totalsRow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10" displayName="Table210" ref="J15:J350" totalsRowShown="0">
  <autoFilter ref="J15:J350" xr:uid="{00000000-0009-0000-0100-000003000000}"/>
  <tableColumns count="1">
    <tableColumn id="1" xr3:uid="{00000000-0010-0000-0200-000001000000}" name="Unit cos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" displayName="Table3" ref="N15:N350" totalsRowShown="0">
  <autoFilter ref="N15:N350" xr:uid="{00000000-0009-0000-0100-000004000000}"/>
  <tableColumns count="1">
    <tableColumn id="1" xr3:uid="{00000000-0010-0000-0300-000001000000}" name="%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11" displayName="Table311" ref="K15:K350" totalsRowShown="0">
  <autoFilter ref="K15:K350" xr:uid="{00000000-0009-0000-0100-000005000000}"/>
  <tableColumns count="1">
    <tableColumn id="1" xr3:uid="{00000000-0010-0000-0400-000001000000}" name="FX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0"/>
  <sheetViews>
    <sheetView zoomScale="120" zoomScaleNormal="120" workbookViewId="0">
      <selection activeCell="A5" sqref="A5"/>
    </sheetView>
  </sheetViews>
  <sheetFormatPr baseColWidth="10" defaultColWidth="10.5" defaultRowHeight="15" x14ac:dyDescent="0.2"/>
  <cols>
    <col min="1" max="1" width="27" bestFit="1" customWidth="1"/>
    <col min="2" max="3" width="12.1640625" customWidth="1"/>
    <col min="4" max="4" width="12.5" customWidth="1"/>
    <col min="8" max="8" width="27.5" bestFit="1" customWidth="1"/>
    <col min="10" max="10" width="10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tr">
        <f ca="1">IF(C2="","",RANDBETWEEN(1,10000000000)&amp;B2&amp;LEFT(D2,10))</f>
        <v>22573866712323232Nutanix Ha</v>
      </c>
      <c r="B2" s="2">
        <f>IF('H.W&amp;S.W&amp;Services'!C16=0,"",'H.W&amp;S.W&amp;Services'!C16)</f>
        <v>2323232</v>
      </c>
      <c r="C2" s="2">
        <f>IF('H.W&amp;S.W&amp;Services'!C16=0,"",'H.W&amp;S.W&amp;Services'!C16)</f>
        <v>2323232</v>
      </c>
      <c r="D2" s="2" t="str">
        <f>IF('H.W&amp;S.W&amp;Services'!H16=0,"",'H.W&amp;S.W&amp;Services'!H16)</f>
        <v>Nutanix Hardware Platform
    * NX-8150-G9, 1 Node Configuration
    Nutanix Software * Foundation - Hypervisor Agnostic Installer * Controller VM * Prism Management * Starter License Entitlement</v>
      </c>
      <c r="E2" s="2">
        <f>IF('H.W&amp;S.W&amp;Services'!I16=0,"",'H.W&amp;S.W&amp;Services'!I16)</f>
        <v>3</v>
      </c>
      <c r="F2" s="3" t="str">
        <f>IF('H.W&amp;S.W&amp;Services'!J16=0,"",'H.W&amp;S.W&amp;Services'!J16)</f>
        <v/>
      </c>
      <c r="G2" s="2" t="str">
        <f>IF('H.W&amp;S.W&amp;Services'!O16=0,"",'H.W&amp;S.W&amp;Services'!O16)</f>
        <v/>
      </c>
      <c r="H2" s="2" t="str">
        <f>IF('H.W&amp;S.W&amp;Services'!B16=0,"",'H.W&amp;S.W&amp;Services'!B16) &amp; IF('H.W&amp;S.W&amp;Services'!F16=0,""," / "&amp;'H.W&amp;S.W&amp;Services'!F16) &amp; IF('H.W&amp;S.W&amp;Services'!G16=0,""," / "&amp;'H.W&amp;S.W&amp;Services'!G16)</f>
        <v>Hardware / Nutanix / New</v>
      </c>
      <c r="I2" t="str">
        <f>IF('H.W&amp;S.W&amp;Services'!D16=0,"",'H.W&amp;S.W&amp;Services'!D16)</f>
        <v>12-03-2025</v>
      </c>
      <c r="J2" s="2" t="str">
        <f>IF('H.W&amp;S.W&amp;Services'!E16=0,"",'H.W&amp;S.W&amp;Services'!E16)</f>
        <v>12-06-2025</v>
      </c>
    </row>
    <row r="3" spans="1:10" x14ac:dyDescent="0.2">
      <c r="A3" s="2" t="str">
        <f ca="1">IF(C3="","",RANDBETWEEN(1,10000000000)&amp;B3&amp;LEFT(D3,10))</f>
        <v>2384440886334343Intel Xeon</v>
      </c>
      <c r="B3" s="2">
        <f>IF('H.W&amp;S.W&amp;Services'!C17=0,"",'H.W&amp;S.W&amp;Services'!C17)</f>
        <v>334343</v>
      </c>
      <c r="C3" s="2">
        <f>IF('H.W&amp;S.W&amp;Services'!C17=0,"",'H.W&amp;S.W&amp;Services'!C17)</f>
        <v>334343</v>
      </c>
      <c r="D3" s="2" t="str">
        <f>IF('H.W&amp;S.W&amp;Services'!H17=0,"",'H.W&amp;S.W&amp;Services'!H17)</f>
        <v>Intel Xeon-Gold 6548Y+ processor (2.5 GHz/ 32-core/ 250W,Emerald Rapids)</v>
      </c>
      <c r="E3" s="2">
        <f>IF('H.W&amp;S.W&amp;Services'!I17=0,"",'H.W&amp;S.W&amp;Services'!I17)</f>
        <v>6</v>
      </c>
      <c r="F3" s="3" t="str">
        <f>IF('H.W&amp;S.W&amp;Services'!J17=0,"",'H.W&amp;S.W&amp;Services'!J17)</f>
        <v/>
      </c>
      <c r="G3" s="4" t="str">
        <f>IF('H.W&amp;S.W&amp;Services'!O17=0,"",'H.W&amp;S.W&amp;Services'!O17)</f>
        <v/>
      </c>
      <c r="H3" s="2" t="str">
        <f>IF('H.W&amp;S.W&amp;Services'!B17=0,"",'H.W&amp;S.W&amp;Services'!B17) &amp; IF('H.W&amp;S.W&amp;Services'!F17=0,""," / "&amp;'H.W&amp;S.W&amp;Services'!F17) &amp; IF('H.W&amp;S.W&amp;Services'!G17=0,""," / "&amp;'H.W&amp;S.W&amp;Services'!G17)</f>
        <v>Software / Nutanix / New</v>
      </c>
      <c r="I3" t="str">
        <f>IF('H.W&amp;S.W&amp;Services'!D17=0,"",'H.W&amp;S.W&amp;Services'!D17)</f>
        <v>12-03-2025</v>
      </c>
      <c r="J3" s="2" t="str">
        <f>IF('H.W&amp;S.W&amp;Services'!E17=0,"",'H.W&amp;S.W&amp;Services'!E17)</f>
        <v>12-06-2025</v>
      </c>
    </row>
    <row r="4" spans="1:10" x14ac:dyDescent="0.2">
      <c r="A4" s="2" t="str">
        <f t="shared" ref="A4:A67" ca="1" si="0">IF(C4="","",RANDBETWEEN(1,10000000000)&amp;B4&amp;LEFT(D4,10))</f>
        <v/>
      </c>
      <c r="B4" s="2" t="str">
        <f>IF('H.W&amp;S.W&amp;Services'!C18=0,"",'H.W&amp;S.W&amp;Services'!C18)</f>
        <v/>
      </c>
      <c r="C4" s="2" t="str">
        <f>IF('H.W&amp;S.W&amp;Services'!C18=0,"",'H.W&amp;S.W&amp;Services'!C18)</f>
        <v/>
      </c>
      <c r="D4" s="2" t="str">
        <f>IF('H.W&amp;S.W&amp;Services'!H18=0,"",'H.W&amp;S.W&amp;Services'!H18)</f>
        <v/>
      </c>
      <c r="E4" s="2" t="str">
        <f>IF('H.W&amp;S.W&amp;Services'!I18=0,"",'H.W&amp;S.W&amp;Services'!I18)</f>
        <v/>
      </c>
      <c r="F4" s="3" t="str">
        <f>IF('H.W&amp;S.W&amp;Services'!J18=0,"",'H.W&amp;S.W&amp;Services'!J18)</f>
        <v/>
      </c>
      <c r="G4" s="4" t="str">
        <f>IF('H.W&amp;S.W&amp;Services'!O18=0,"",'H.W&amp;S.W&amp;Services'!O18)</f>
        <v/>
      </c>
      <c r="H4" s="2" t="str">
        <f>IF('H.W&amp;S.W&amp;Services'!B18=0,"",'H.W&amp;S.W&amp;Services'!B18) &amp; IF('H.W&amp;S.W&amp;Services'!F18=0,""," / "&amp;'H.W&amp;S.W&amp;Services'!F18) &amp; IF('H.W&amp;S.W&amp;Services'!G18=0,""," / "&amp;'H.W&amp;S.W&amp;Services'!G18)</f>
        <v/>
      </c>
      <c r="I4" t="str">
        <f>IF('H.W&amp;S.W&amp;Services'!D18=0,"",'H.W&amp;S.W&amp;Services'!D18)</f>
        <v/>
      </c>
      <c r="J4" s="2" t="str">
        <f>IF('H.W&amp;S.W&amp;Services'!E18=0,"",'H.W&amp;S.W&amp;Services'!E18)</f>
        <v/>
      </c>
    </row>
    <row r="5" spans="1:10" x14ac:dyDescent="0.2">
      <c r="A5" s="2" t="str">
        <f t="shared" ca="1" si="0"/>
        <v/>
      </c>
      <c r="B5" s="2" t="str">
        <f>IF('H.W&amp;S.W&amp;Services'!C19=0,"",'H.W&amp;S.W&amp;Services'!C19)</f>
        <v/>
      </c>
      <c r="C5" s="2" t="str">
        <f>IF('H.W&amp;S.W&amp;Services'!C19=0,"",'H.W&amp;S.W&amp;Services'!C19)</f>
        <v/>
      </c>
      <c r="D5" s="2" t="str">
        <f>IF('H.W&amp;S.W&amp;Services'!H19=0,"",'H.W&amp;S.W&amp;Services'!H19)</f>
        <v/>
      </c>
      <c r="E5" s="2" t="str">
        <f>IF('H.W&amp;S.W&amp;Services'!I19=0,"",'H.W&amp;S.W&amp;Services'!I19)</f>
        <v/>
      </c>
      <c r="F5" s="3" t="str">
        <f>IF('H.W&amp;S.W&amp;Services'!J19=0,"",'H.W&amp;S.W&amp;Services'!J19)</f>
        <v/>
      </c>
      <c r="G5" s="4" t="str">
        <f>IF('H.W&amp;S.W&amp;Services'!O19=0,"",'H.W&amp;S.W&amp;Services'!O19)</f>
        <v/>
      </c>
      <c r="H5" s="2" t="str">
        <f>IF('H.W&amp;S.W&amp;Services'!B19=0,"",'H.W&amp;S.W&amp;Services'!B19) &amp; IF('H.W&amp;S.W&amp;Services'!F19=0,""," / "&amp;'H.W&amp;S.W&amp;Services'!F19) &amp; IF('H.W&amp;S.W&amp;Services'!G19=0,""," / "&amp;'H.W&amp;S.W&amp;Services'!G19)</f>
        <v/>
      </c>
      <c r="I5" t="str">
        <f>IF('H.W&amp;S.W&amp;Services'!D19=0,"",'H.W&amp;S.W&amp;Services'!D19)</f>
        <v/>
      </c>
      <c r="J5" s="2" t="str">
        <f>IF('H.W&amp;S.W&amp;Services'!E19=0,"",'H.W&amp;S.W&amp;Services'!E19)</f>
        <v/>
      </c>
    </row>
    <row r="6" spans="1:10" x14ac:dyDescent="0.2">
      <c r="A6" s="2" t="str">
        <f t="shared" ca="1" si="0"/>
        <v/>
      </c>
      <c r="B6" s="2" t="str">
        <f>IF('H.W&amp;S.W&amp;Services'!C20=0,"",'H.W&amp;S.W&amp;Services'!C20)</f>
        <v/>
      </c>
      <c r="C6" s="2" t="str">
        <f>IF('H.W&amp;S.W&amp;Services'!C20=0,"",'H.W&amp;S.W&amp;Services'!C20)</f>
        <v/>
      </c>
      <c r="D6" s="2" t="str">
        <f>IF('H.W&amp;S.W&amp;Services'!H20=0,"",'H.W&amp;S.W&amp;Services'!H20)</f>
        <v/>
      </c>
      <c r="E6" s="2" t="str">
        <f>IF('H.W&amp;S.W&amp;Services'!I20=0,"",'H.W&amp;S.W&amp;Services'!I20)</f>
        <v/>
      </c>
      <c r="F6" s="3" t="str">
        <f>IF('H.W&amp;S.W&amp;Services'!J20=0,"",'H.W&amp;S.W&amp;Services'!J20)</f>
        <v/>
      </c>
      <c r="G6" s="4" t="str">
        <f>IF('H.W&amp;S.W&amp;Services'!O20=0,"",'H.W&amp;S.W&amp;Services'!O20)</f>
        <v/>
      </c>
      <c r="H6" s="2" t="str">
        <f>IF('H.W&amp;S.W&amp;Services'!B20=0,"",'H.W&amp;S.W&amp;Services'!B20) &amp; IF('H.W&amp;S.W&amp;Services'!F20=0,""," / "&amp;'H.W&amp;S.W&amp;Services'!F20) &amp; IF('H.W&amp;S.W&amp;Services'!G20=0,""," / "&amp;'H.W&amp;S.W&amp;Services'!G20)</f>
        <v/>
      </c>
      <c r="I6" t="str">
        <f>IF('H.W&amp;S.W&amp;Services'!D20=0,"",'H.W&amp;S.W&amp;Services'!D20)</f>
        <v/>
      </c>
      <c r="J6" s="2" t="str">
        <f>IF('H.W&amp;S.W&amp;Services'!E20=0,"",'H.W&amp;S.W&amp;Services'!E20)</f>
        <v/>
      </c>
    </row>
    <row r="7" spans="1:10" x14ac:dyDescent="0.2">
      <c r="A7" s="2" t="str">
        <f t="shared" ca="1" si="0"/>
        <v/>
      </c>
      <c r="B7" s="2" t="str">
        <f>IF('H.W&amp;S.W&amp;Services'!C21=0,"",'H.W&amp;S.W&amp;Services'!C21)</f>
        <v/>
      </c>
      <c r="C7" s="2" t="str">
        <f>IF('H.W&amp;S.W&amp;Services'!C21=0,"",'H.W&amp;S.W&amp;Services'!C21)</f>
        <v/>
      </c>
      <c r="D7" s="2" t="str">
        <f>IF('H.W&amp;S.W&amp;Services'!H21=0,"",'H.W&amp;S.W&amp;Services'!H21)</f>
        <v/>
      </c>
      <c r="E7" s="2" t="str">
        <f>IF('H.W&amp;S.W&amp;Services'!I21=0,"",'H.W&amp;S.W&amp;Services'!I21)</f>
        <v/>
      </c>
      <c r="F7" s="3" t="str">
        <f>IF('H.W&amp;S.W&amp;Services'!J21=0,"",'H.W&amp;S.W&amp;Services'!J21)</f>
        <v/>
      </c>
      <c r="G7" s="4" t="str">
        <f>IF('H.W&amp;S.W&amp;Services'!O21=0,"",'H.W&amp;S.W&amp;Services'!O21)</f>
        <v/>
      </c>
      <c r="H7" s="2" t="str">
        <f>IF('H.W&amp;S.W&amp;Services'!B21=0,"",'H.W&amp;S.W&amp;Services'!B21) &amp; IF('H.W&amp;S.W&amp;Services'!F21=0,""," / "&amp;'H.W&amp;S.W&amp;Services'!F21) &amp; IF('H.W&amp;S.W&amp;Services'!G21=0,""," / "&amp;'H.W&amp;S.W&amp;Services'!G21)</f>
        <v/>
      </c>
      <c r="I7" t="str">
        <f>IF('H.W&amp;S.W&amp;Services'!D21=0,"",'H.W&amp;S.W&amp;Services'!D21)</f>
        <v/>
      </c>
      <c r="J7" s="2" t="str">
        <f>IF('H.W&amp;S.W&amp;Services'!E21=0,"",'H.W&amp;S.W&amp;Services'!E21)</f>
        <v/>
      </c>
    </row>
    <row r="8" spans="1:10" x14ac:dyDescent="0.2">
      <c r="A8" s="2" t="str">
        <f t="shared" ca="1" si="0"/>
        <v/>
      </c>
      <c r="B8" s="2" t="str">
        <f>IF('H.W&amp;S.W&amp;Services'!C22=0,"",'H.W&amp;S.W&amp;Services'!C22)</f>
        <v/>
      </c>
      <c r="C8" s="2" t="str">
        <f>IF('H.W&amp;S.W&amp;Services'!C22=0,"",'H.W&amp;S.W&amp;Services'!C22)</f>
        <v/>
      </c>
      <c r="D8" s="2" t="str">
        <f>IF('H.W&amp;S.W&amp;Services'!H22=0,"",'H.W&amp;S.W&amp;Services'!H22)</f>
        <v/>
      </c>
      <c r="E8" s="2" t="str">
        <f>IF('H.W&amp;S.W&amp;Services'!I22=0,"",'H.W&amp;S.W&amp;Services'!I22)</f>
        <v/>
      </c>
      <c r="F8" s="3" t="str">
        <f>IF('H.W&amp;S.W&amp;Services'!J22=0,"",'H.W&amp;S.W&amp;Services'!J22)</f>
        <v/>
      </c>
      <c r="G8" s="4" t="str">
        <f>IF('H.W&amp;S.W&amp;Services'!O22=0,"",'H.W&amp;S.W&amp;Services'!O22)</f>
        <v/>
      </c>
      <c r="H8" s="2" t="str">
        <f>IF('H.W&amp;S.W&amp;Services'!B22=0,"",'H.W&amp;S.W&amp;Services'!B22) &amp; IF('H.W&amp;S.W&amp;Services'!F22=0,""," / "&amp;'H.W&amp;S.W&amp;Services'!F22) &amp; IF('H.W&amp;S.W&amp;Services'!G22=0,""," / "&amp;'H.W&amp;S.W&amp;Services'!G22)</f>
        <v/>
      </c>
      <c r="I8" t="str">
        <f>IF('H.W&amp;S.W&amp;Services'!D22=0,"",'H.W&amp;S.W&amp;Services'!D22)</f>
        <v/>
      </c>
      <c r="J8" s="2" t="str">
        <f>IF('H.W&amp;S.W&amp;Services'!E22=0,"",'H.W&amp;S.W&amp;Services'!E22)</f>
        <v/>
      </c>
    </row>
    <row r="9" spans="1:10" x14ac:dyDescent="0.2">
      <c r="A9" s="2" t="str">
        <f t="shared" ca="1" si="0"/>
        <v/>
      </c>
      <c r="B9" s="2" t="str">
        <f>IF('H.W&amp;S.W&amp;Services'!C23=0,"",'H.W&amp;S.W&amp;Services'!C23)</f>
        <v/>
      </c>
      <c r="C9" s="2" t="str">
        <f>IF('H.W&amp;S.W&amp;Services'!C23=0,"",'H.W&amp;S.W&amp;Services'!C23)</f>
        <v/>
      </c>
      <c r="D9" s="2" t="str">
        <f>IF('H.W&amp;S.W&amp;Services'!H23=0,"",'H.W&amp;S.W&amp;Services'!H23)</f>
        <v/>
      </c>
      <c r="E9" s="2" t="str">
        <f>IF('H.W&amp;S.W&amp;Services'!I23=0,"",'H.W&amp;S.W&amp;Services'!I23)</f>
        <v/>
      </c>
      <c r="F9" s="3" t="str">
        <f>IF('H.W&amp;S.W&amp;Services'!J23=0,"",'H.W&amp;S.W&amp;Services'!J23)</f>
        <v/>
      </c>
      <c r="G9" s="4" t="str">
        <f>IF('H.W&amp;S.W&amp;Services'!O23=0,"",'H.W&amp;S.W&amp;Services'!O23)</f>
        <v/>
      </c>
      <c r="H9" s="2" t="str">
        <f>IF('H.W&amp;S.W&amp;Services'!B23=0,"",'H.W&amp;S.W&amp;Services'!B23) &amp; IF('H.W&amp;S.W&amp;Services'!F23=0,""," / "&amp;'H.W&amp;S.W&amp;Services'!F23) &amp; IF('H.W&amp;S.W&amp;Services'!G23=0,""," / "&amp;'H.W&amp;S.W&amp;Services'!G23)</f>
        <v/>
      </c>
      <c r="I9" t="str">
        <f>IF('H.W&amp;S.W&amp;Services'!D23=0,"",'H.W&amp;S.W&amp;Services'!D23)</f>
        <v/>
      </c>
      <c r="J9" s="2" t="str">
        <f>IF('H.W&amp;S.W&amp;Services'!E23=0,"",'H.W&amp;S.W&amp;Services'!E23)</f>
        <v/>
      </c>
    </row>
    <row r="10" spans="1:10" x14ac:dyDescent="0.2">
      <c r="A10" s="2" t="str">
        <f t="shared" ca="1" si="0"/>
        <v/>
      </c>
      <c r="B10" s="2" t="str">
        <f>IF('H.W&amp;S.W&amp;Services'!C24=0,"",'H.W&amp;S.W&amp;Services'!C24)</f>
        <v/>
      </c>
      <c r="C10" s="2" t="str">
        <f>IF('H.W&amp;S.W&amp;Services'!C24=0,"",'H.W&amp;S.W&amp;Services'!C24)</f>
        <v/>
      </c>
      <c r="D10" s="2" t="str">
        <f>IF('H.W&amp;S.W&amp;Services'!H24=0,"",'H.W&amp;S.W&amp;Services'!H24)</f>
        <v/>
      </c>
      <c r="E10" s="2" t="str">
        <f>IF('H.W&amp;S.W&amp;Services'!I24=0,"",'H.W&amp;S.W&amp;Services'!I24)</f>
        <v/>
      </c>
      <c r="F10" s="3" t="str">
        <f>IF('H.W&amp;S.W&amp;Services'!J24=0,"",'H.W&amp;S.W&amp;Services'!J24)</f>
        <v/>
      </c>
      <c r="G10" s="4" t="str">
        <f>IF('H.W&amp;S.W&amp;Services'!O24=0,"",'H.W&amp;S.W&amp;Services'!O24)</f>
        <v/>
      </c>
      <c r="H10" s="2" t="str">
        <f>IF('H.W&amp;S.W&amp;Services'!B24=0,"",'H.W&amp;S.W&amp;Services'!B24) &amp; IF('H.W&amp;S.W&amp;Services'!F24=0,""," / "&amp;'H.W&amp;S.W&amp;Services'!F24) &amp; IF('H.W&amp;S.W&amp;Services'!G24=0,""," / "&amp;'H.W&amp;S.W&amp;Services'!G24)</f>
        <v/>
      </c>
      <c r="I10" t="str">
        <f>IF('H.W&amp;S.W&amp;Services'!D24=0,"",'H.W&amp;S.W&amp;Services'!D24)</f>
        <v/>
      </c>
      <c r="J10" s="2" t="str">
        <f>IF('H.W&amp;S.W&amp;Services'!E24=0,"",'H.W&amp;S.W&amp;Services'!E24)</f>
        <v/>
      </c>
    </row>
    <row r="11" spans="1:10" x14ac:dyDescent="0.2">
      <c r="A11" s="2" t="str">
        <f t="shared" ca="1" si="0"/>
        <v/>
      </c>
      <c r="B11" s="2" t="str">
        <f>IF('H.W&amp;S.W&amp;Services'!C25=0,"",'H.W&amp;S.W&amp;Services'!C25)</f>
        <v/>
      </c>
      <c r="C11" s="2" t="str">
        <f>IF('H.W&amp;S.W&amp;Services'!C25=0,"",'H.W&amp;S.W&amp;Services'!C25)</f>
        <v/>
      </c>
      <c r="D11" s="2" t="str">
        <f>IF('H.W&amp;S.W&amp;Services'!H25=0,"",'H.W&amp;S.W&amp;Services'!H25)</f>
        <v/>
      </c>
      <c r="E11" s="2" t="str">
        <f>IF('H.W&amp;S.W&amp;Services'!I25=0,"",'H.W&amp;S.W&amp;Services'!I25)</f>
        <v/>
      </c>
      <c r="F11" s="3" t="str">
        <f>IF('H.W&amp;S.W&amp;Services'!J25=0,"",'H.W&amp;S.W&amp;Services'!J25)</f>
        <v/>
      </c>
      <c r="G11" s="4" t="str">
        <f>IF('H.W&amp;S.W&amp;Services'!O25=0,"",'H.W&amp;S.W&amp;Services'!O25)</f>
        <v/>
      </c>
      <c r="H11" s="2" t="str">
        <f>IF('H.W&amp;S.W&amp;Services'!B25=0,"",'H.W&amp;S.W&amp;Services'!B25) &amp; IF('H.W&amp;S.W&amp;Services'!F25=0,""," / "&amp;'H.W&amp;S.W&amp;Services'!F25) &amp; IF('H.W&amp;S.W&amp;Services'!G25=0,""," / "&amp;'H.W&amp;S.W&amp;Services'!G25)</f>
        <v/>
      </c>
      <c r="I11" t="str">
        <f>IF('H.W&amp;S.W&amp;Services'!D25=0,"",'H.W&amp;S.W&amp;Services'!D25)</f>
        <v/>
      </c>
      <c r="J11" s="2" t="str">
        <f>IF('H.W&amp;S.W&amp;Services'!E25=0,"",'H.W&amp;S.W&amp;Services'!E25)</f>
        <v/>
      </c>
    </row>
    <row r="12" spans="1:10" x14ac:dyDescent="0.2">
      <c r="A12" s="2" t="str">
        <f t="shared" ca="1" si="0"/>
        <v/>
      </c>
      <c r="B12" s="2" t="str">
        <f>IF('H.W&amp;S.W&amp;Services'!C26=0,"",'H.W&amp;S.W&amp;Services'!C26)</f>
        <v/>
      </c>
      <c r="C12" s="2" t="str">
        <f>IF('H.W&amp;S.W&amp;Services'!C26=0,"",'H.W&amp;S.W&amp;Services'!C26)</f>
        <v/>
      </c>
      <c r="D12" s="2" t="str">
        <f>IF('H.W&amp;S.W&amp;Services'!H26=0,"",'H.W&amp;S.W&amp;Services'!H26)</f>
        <v/>
      </c>
      <c r="E12" s="2" t="str">
        <f>IF('H.W&amp;S.W&amp;Services'!I26=0,"",'H.W&amp;S.W&amp;Services'!I26)</f>
        <v/>
      </c>
      <c r="F12" s="3" t="str">
        <f>IF('H.W&amp;S.W&amp;Services'!J26=0,"",'H.W&amp;S.W&amp;Services'!J26)</f>
        <v/>
      </c>
      <c r="G12" s="4" t="str">
        <f>IF('H.W&amp;S.W&amp;Services'!O26=0,"",'H.W&amp;S.W&amp;Services'!O26)</f>
        <v/>
      </c>
      <c r="H12" s="2" t="str">
        <f>IF('H.W&amp;S.W&amp;Services'!B26=0,"",'H.W&amp;S.W&amp;Services'!B26) &amp; IF('H.W&amp;S.W&amp;Services'!F26=0,""," / "&amp;'H.W&amp;S.W&amp;Services'!F26) &amp; IF('H.W&amp;S.W&amp;Services'!G26=0,""," / "&amp;'H.W&amp;S.W&amp;Services'!G26)</f>
        <v/>
      </c>
      <c r="I12" t="str">
        <f>IF('H.W&amp;S.W&amp;Services'!D26=0,"",'H.W&amp;S.W&amp;Services'!D26)</f>
        <v/>
      </c>
      <c r="J12" s="2" t="str">
        <f>IF('H.W&amp;S.W&amp;Services'!E26=0,"",'H.W&amp;S.W&amp;Services'!E26)</f>
        <v/>
      </c>
    </row>
    <row r="13" spans="1:10" x14ac:dyDescent="0.2">
      <c r="A13" s="2" t="str">
        <f t="shared" ca="1" si="0"/>
        <v/>
      </c>
      <c r="B13" s="2" t="str">
        <f>IF('H.W&amp;S.W&amp;Services'!C27=0,"",'H.W&amp;S.W&amp;Services'!C27)</f>
        <v/>
      </c>
      <c r="C13" s="2" t="str">
        <f>IF('H.W&amp;S.W&amp;Services'!C27=0,"",'H.W&amp;S.W&amp;Services'!C27)</f>
        <v/>
      </c>
      <c r="D13" s="2" t="str">
        <f>IF('H.W&amp;S.W&amp;Services'!H27=0,"",'H.W&amp;S.W&amp;Services'!H27)</f>
        <v/>
      </c>
      <c r="E13" s="2" t="str">
        <f>IF('H.W&amp;S.W&amp;Services'!I27=0,"",'H.W&amp;S.W&amp;Services'!I27)</f>
        <v/>
      </c>
      <c r="F13" s="3" t="str">
        <f>IF('H.W&amp;S.W&amp;Services'!J27=0,"",'H.W&amp;S.W&amp;Services'!J27)</f>
        <v/>
      </c>
      <c r="G13" s="4" t="str">
        <f>IF('H.W&amp;S.W&amp;Services'!O27=0,"",'H.W&amp;S.W&amp;Services'!O27)</f>
        <v/>
      </c>
      <c r="H13" s="2" t="str">
        <f>IF('H.W&amp;S.W&amp;Services'!B27=0,"",'H.W&amp;S.W&amp;Services'!B27) &amp; IF('H.W&amp;S.W&amp;Services'!F27=0,""," / "&amp;'H.W&amp;S.W&amp;Services'!F27) &amp; IF('H.W&amp;S.W&amp;Services'!G27=0,""," / "&amp;'H.W&amp;S.W&amp;Services'!G27)</f>
        <v/>
      </c>
      <c r="I13" t="str">
        <f>IF('H.W&amp;S.W&amp;Services'!D27=0,"",'H.W&amp;S.W&amp;Services'!D27)</f>
        <v/>
      </c>
      <c r="J13" s="2" t="str">
        <f>IF('H.W&amp;S.W&amp;Services'!E27=0,"",'H.W&amp;S.W&amp;Services'!E27)</f>
        <v/>
      </c>
    </row>
    <row r="14" spans="1:10" x14ac:dyDescent="0.2">
      <c r="A14" s="2" t="str">
        <f t="shared" ca="1" si="0"/>
        <v/>
      </c>
      <c r="B14" s="2" t="str">
        <f>IF('H.W&amp;S.W&amp;Services'!C28=0,"",'H.W&amp;S.W&amp;Services'!C28)</f>
        <v/>
      </c>
      <c r="C14" s="2" t="str">
        <f>IF('H.W&amp;S.W&amp;Services'!C28=0,"",'H.W&amp;S.W&amp;Services'!C28)</f>
        <v/>
      </c>
      <c r="D14" s="2" t="str">
        <f>IF('H.W&amp;S.W&amp;Services'!H28=0,"",'H.W&amp;S.W&amp;Services'!H28)</f>
        <v/>
      </c>
      <c r="E14" s="2" t="str">
        <f>IF('H.W&amp;S.W&amp;Services'!I28=0,"",'H.W&amp;S.W&amp;Services'!I28)</f>
        <v/>
      </c>
      <c r="F14" s="3" t="str">
        <f>IF('H.W&amp;S.W&amp;Services'!J28=0,"",'H.W&amp;S.W&amp;Services'!J28)</f>
        <v/>
      </c>
      <c r="G14" s="4" t="str">
        <f>IF('H.W&amp;S.W&amp;Services'!O28=0,"",'H.W&amp;S.W&amp;Services'!O28)</f>
        <v/>
      </c>
      <c r="H14" s="2" t="str">
        <f>IF('H.W&amp;S.W&amp;Services'!B28=0,"",'H.W&amp;S.W&amp;Services'!B28) &amp; IF('H.W&amp;S.W&amp;Services'!F28=0,""," / "&amp;'H.W&amp;S.W&amp;Services'!F28) &amp; IF('H.W&amp;S.W&amp;Services'!G28=0,""," / "&amp;'H.W&amp;S.W&amp;Services'!G28)</f>
        <v/>
      </c>
      <c r="I14" t="str">
        <f>IF('H.W&amp;S.W&amp;Services'!D28=0,"",'H.W&amp;S.W&amp;Services'!D28)</f>
        <v/>
      </c>
      <c r="J14" s="2" t="str">
        <f>IF('H.W&amp;S.W&amp;Services'!E28=0,"",'H.W&amp;S.W&amp;Services'!E28)</f>
        <v/>
      </c>
    </row>
    <row r="15" spans="1:10" x14ac:dyDescent="0.2">
      <c r="A15" s="2" t="str">
        <f t="shared" ca="1" si="0"/>
        <v/>
      </c>
      <c r="B15" s="2" t="str">
        <f>IF('H.W&amp;S.W&amp;Services'!C29=0,"",'H.W&amp;S.W&amp;Services'!C29)</f>
        <v/>
      </c>
      <c r="C15" s="2" t="str">
        <f>IF('H.W&amp;S.W&amp;Services'!C29=0,"",'H.W&amp;S.W&amp;Services'!C29)</f>
        <v/>
      </c>
      <c r="D15" s="2" t="str">
        <f>IF('H.W&amp;S.W&amp;Services'!H29=0,"",'H.W&amp;S.W&amp;Services'!H29)</f>
        <v/>
      </c>
      <c r="E15" s="2" t="str">
        <f>IF('H.W&amp;S.W&amp;Services'!I29=0,"",'H.W&amp;S.W&amp;Services'!I29)</f>
        <v/>
      </c>
      <c r="F15" s="3" t="str">
        <f>IF('H.W&amp;S.W&amp;Services'!J29=0,"",'H.W&amp;S.W&amp;Services'!J29)</f>
        <v/>
      </c>
      <c r="G15" s="4" t="str">
        <f>IF('H.W&amp;S.W&amp;Services'!O29=0,"",'H.W&amp;S.W&amp;Services'!O29)</f>
        <v/>
      </c>
      <c r="H15" s="2" t="str">
        <f>IF('H.W&amp;S.W&amp;Services'!B29=0,"",'H.W&amp;S.W&amp;Services'!B29) &amp; IF('H.W&amp;S.W&amp;Services'!F29=0,""," / "&amp;'H.W&amp;S.W&amp;Services'!F29) &amp; IF('H.W&amp;S.W&amp;Services'!G29=0,""," / "&amp;'H.W&amp;S.W&amp;Services'!G29)</f>
        <v/>
      </c>
      <c r="I15" t="str">
        <f>IF('H.W&amp;S.W&amp;Services'!D29=0,"",'H.W&amp;S.W&amp;Services'!D29)</f>
        <v/>
      </c>
      <c r="J15" s="2" t="str">
        <f>IF('H.W&amp;S.W&amp;Services'!E29=0,"",'H.W&amp;S.W&amp;Services'!E29)</f>
        <v/>
      </c>
    </row>
    <row r="16" spans="1:10" x14ac:dyDescent="0.2">
      <c r="A16" s="2" t="str">
        <f t="shared" ca="1" si="0"/>
        <v/>
      </c>
      <c r="B16" s="2" t="str">
        <f>IF('H.W&amp;S.W&amp;Services'!C30=0,"",'H.W&amp;S.W&amp;Services'!C30)</f>
        <v/>
      </c>
      <c r="C16" s="2" t="str">
        <f>IF('H.W&amp;S.W&amp;Services'!C30=0,"",'H.W&amp;S.W&amp;Services'!C30)</f>
        <v/>
      </c>
      <c r="D16" s="2" t="str">
        <f>IF('H.W&amp;S.W&amp;Services'!H30=0,"",'H.W&amp;S.W&amp;Services'!H30)</f>
        <v/>
      </c>
      <c r="E16" s="2" t="str">
        <f>IF('H.W&amp;S.W&amp;Services'!I30=0,"",'H.W&amp;S.W&amp;Services'!I30)</f>
        <v/>
      </c>
      <c r="F16" s="3" t="str">
        <f>IF('H.W&amp;S.W&amp;Services'!J30=0,"",'H.W&amp;S.W&amp;Services'!J30)</f>
        <v/>
      </c>
      <c r="G16" s="4" t="str">
        <f>IF('H.W&amp;S.W&amp;Services'!O30=0,"",'H.W&amp;S.W&amp;Services'!O30)</f>
        <v/>
      </c>
      <c r="H16" s="2" t="str">
        <f>IF('H.W&amp;S.W&amp;Services'!B30=0,"",'H.W&amp;S.W&amp;Services'!B30) &amp; IF('H.W&amp;S.W&amp;Services'!F30=0,""," / "&amp;'H.W&amp;S.W&amp;Services'!F30) &amp; IF('H.W&amp;S.W&amp;Services'!G30=0,""," / "&amp;'H.W&amp;S.W&amp;Services'!G30)</f>
        <v/>
      </c>
      <c r="I16" t="str">
        <f>IF('H.W&amp;S.W&amp;Services'!D30=0,"",'H.W&amp;S.W&amp;Services'!D30)</f>
        <v/>
      </c>
      <c r="J16" s="2" t="str">
        <f>IF('H.W&amp;S.W&amp;Services'!E30=0,"",'H.W&amp;S.W&amp;Services'!E30)</f>
        <v/>
      </c>
    </row>
    <row r="17" spans="1:10" x14ac:dyDescent="0.2">
      <c r="A17" s="2" t="str">
        <f t="shared" ca="1" si="0"/>
        <v/>
      </c>
      <c r="B17" s="2" t="str">
        <f>IF('H.W&amp;S.W&amp;Services'!C31=0,"",'H.W&amp;S.W&amp;Services'!C31)</f>
        <v/>
      </c>
      <c r="C17" s="2" t="str">
        <f>IF('H.W&amp;S.W&amp;Services'!C31=0,"",'H.W&amp;S.W&amp;Services'!C31)</f>
        <v/>
      </c>
      <c r="D17" s="2" t="str">
        <f>IF('H.W&amp;S.W&amp;Services'!H31=0,"",'H.W&amp;S.W&amp;Services'!H31)</f>
        <v/>
      </c>
      <c r="E17" s="2" t="str">
        <f>IF('H.W&amp;S.W&amp;Services'!I31=0,"",'H.W&amp;S.W&amp;Services'!I31)</f>
        <v/>
      </c>
      <c r="F17" s="3" t="str">
        <f>IF('H.W&amp;S.W&amp;Services'!J31=0,"",'H.W&amp;S.W&amp;Services'!J31)</f>
        <v/>
      </c>
      <c r="G17" s="4" t="str">
        <f>IF('H.W&amp;S.W&amp;Services'!O31=0,"",'H.W&amp;S.W&amp;Services'!O31)</f>
        <v/>
      </c>
      <c r="H17" s="2" t="str">
        <f>IF('H.W&amp;S.W&amp;Services'!B31=0,"",'H.W&amp;S.W&amp;Services'!B31) &amp; IF('H.W&amp;S.W&amp;Services'!F31=0,""," / "&amp;'H.W&amp;S.W&amp;Services'!F31) &amp; IF('H.W&amp;S.W&amp;Services'!G31=0,""," / "&amp;'H.W&amp;S.W&amp;Services'!G31)</f>
        <v/>
      </c>
      <c r="I17" t="str">
        <f>IF('H.W&amp;S.W&amp;Services'!D31=0,"",'H.W&amp;S.W&amp;Services'!D31)</f>
        <v/>
      </c>
      <c r="J17" s="2" t="str">
        <f>IF('H.W&amp;S.W&amp;Services'!E31=0,"",'H.W&amp;S.W&amp;Services'!E31)</f>
        <v/>
      </c>
    </row>
    <row r="18" spans="1:10" x14ac:dyDescent="0.2">
      <c r="A18" s="2" t="str">
        <f t="shared" ca="1" si="0"/>
        <v/>
      </c>
      <c r="B18" s="2" t="str">
        <f>IF('H.W&amp;S.W&amp;Services'!C32=0,"",'H.W&amp;S.W&amp;Services'!C32)</f>
        <v/>
      </c>
      <c r="C18" s="2" t="str">
        <f>IF('H.W&amp;S.W&amp;Services'!C32=0,"",'H.W&amp;S.W&amp;Services'!C32)</f>
        <v/>
      </c>
      <c r="D18" s="2" t="str">
        <f>IF('H.W&amp;S.W&amp;Services'!H32=0,"",'H.W&amp;S.W&amp;Services'!H32)</f>
        <v/>
      </c>
      <c r="E18" s="2" t="str">
        <f>IF('H.W&amp;S.W&amp;Services'!I32=0,"",'H.W&amp;S.W&amp;Services'!I32)</f>
        <v/>
      </c>
      <c r="F18" s="3" t="str">
        <f>IF('H.W&amp;S.W&amp;Services'!J32=0,"",'H.W&amp;S.W&amp;Services'!J32)</f>
        <v/>
      </c>
      <c r="G18" s="4" t="str">
        <f>IF('H.W&amp;S.W&amp;Services'!O32=0,"",'H.W&amp;S.W&amp;Services'!O32)</f>
        <v/>
      </c>
      <c r="H18" s="2" t="str">
        <f>IF('H.W&amp;S.W&amp;Services'!B32=0,"",'H.W&amp;S.W&amp;Services'!B32) &amp; IF('H.W&amp;S.W&amp;Services'!F32=0,""," / "&amp;'H.W&amp;S.W&amp;Services'!F32) &amp; IF('H.W&amp;S.W&amp;Services'!G32=0,""," / "&amp;'H.W&amp;S.W&amp;Services'!G32)</f>
        <v/>
      </c>
      <c r="I18" t="str">
        <f>IF('H.W&amp;S.W&amp;Services'!D32=0,"",'H.W&amp;S.W&amp;Services'!D32)</f>
        <v/>
      </c>
      <c r="J18" s="2" t="str">
        <f>IF('H.W&amp;S.W&amp;Services'!E32=0,"",'H.W&amp;S.W&amp;Services'!E32)</f>
        <v/>
      </c>
    </row>
    <row r="19" spans="1:10" x14ac:dyDescent="0.2">
      <c r="A19" s="2" t="str">
        <f t="shared" ca="1" si="0"/>
        <v/>
      </c>
      <c r="B19" s="2" t="str">
        <f>IF('H.W&amp;S.W&amp;Services'!C33=0,"",'H.W&amp;S.W&amp;Services'!C33)</f>
        <v/>
      </c>
      <c r="C19" s="2" t="str">
        <f>IF('H.W&amp;S.W&amp;Services'!C33=0,"",'H.W&amp;S.W&amp;Services'!C33)</f>
        <v/>
      </c>
      <c r="D19" s="2" t="str">
        <f>IF('H.W&amp;S.W&amp;Services'!H33=0,"",'H.W&amp;S.W&amp;Services'!H33)</f>
        <v/>
      </c>
      <c r="E19" s="2" t="str">
        <f>IF('H.W&amp;S.W&amp;Services'!I33=0,"",'H.W&amp;S.W&amp;Services'!I33)</f>
        <v/>
      </c>
      <c r="F19" s="3" t="str">
        <f>IF('H.W&amp;S.W&amp;Services'!J33=0,"",'H.W&amp;S.W&amp;Services'!J33)</f>
        <v/>
      </c>
      <c r="G19" s="4" t="str">
        <f>IF('H.W&amp;S.W&amp;Services'!O33=0,"",'H.W&amp;S.W&amp;Services'!O33)</f>
        <v/>
      </c>
      <c r="H19" s="2" t="str">
        <f>IF('H.W&amp;S.W&amp;Services'!B33=0,"",'H.W&amp;S.W&amp;Services'!B33) &amp; IF('H.W&amp;S.W&amp;Services'!F33=0,""," / "&amp;'H.W&amp;S.W&amp;Services'!F33) &amp; IF('H.W&amp;S.W&amp;Services'!G33=0,""," / "&amp;'H.W&amp;S.W&amp;Services'!G33)</f>
        <v/>
      </c>
      <c r="I19" t="str">
        <f>IF('H.W&amp;S.W&amp;Services'!D33=0,"",'H.W&amp;S.W&amp;Services'!D33)</f>
        <v/>
      </c>
      <c r="J19" s="2" t="str">
        <f>IF('H.W&amp;S.W&amp;Services'!E33=0,"",'H.W&amp;S.W&amp;Services'!E33)</f>
        <v/>
      </c>
    </row>
    <row r="20" spans="1:10" x14ac:dyDescent="0.2">
      <c r="A20" s="2" t="str">
        <f t="shared" ca="1" si="0"/>
        <v/>
      </c>
      <c r="B20" s="2" t="str">
        <f>IF('H.W&amp;S.W&amp;Services'!C34=0,"",'H.W&amp;S.W&amp;Services'!C34)</f>
        <v/>
      </c>
      <c r="C20" s="2" t="str">
        <f>IF('H.W&amp;S.W&amp;Services'!C34=0,"",'H.W&amp;S.W&amp;Services'!C34)</f>
        <v/>
      </c>
      <c r="D20" s="2" t="str">
        <f>IF('H.W&amp;S.W&amp;Services'!H34=0,"",'H.W&amp;S.W&amp;Services'!H34)</f>
        <v/>
      </c>
      <c r="E20" s="2" t="str">
        <f>IF('H.W&amp;S.W&amp;Services'!I34=0,"",'H.W&amp;S.W&amp;Services'!I34)</f>
        <v/>
      </c>
      <c r="F20" s="3" t="str">
        <f>IF('H.W&amp;S.W&amp;Services'!J34=0,"",'H.W&amp;S.W&amp;Services'!J34)</f>
        <v/>
      </c>
      <c r="G20" s="4" t="str">
        <f>IF('H.W&amp;S.W&amp;Services'!O34=0,"",'H.W&amp;S.W&amp;Services'!O34)</f>
        <v/>
      </c>
      <c r="H20" s="2" t="str">
        <f>IF('H.W&amp;S.W&amp;Services'!B34=0,"",'H.W&amp;S.W&amp;Services'!B34) &amp; IF('H.W&amp;S.W&amp;Services'!F34=0,""," / "&amp;'H.W&amp;S.W&amp;Services'!F34) &amp; IF('H.W&amp;S.W&amp;Services'!G34=0,""," / "&amp;'H.W&amp;S.W&amp;Services'!G34)</f>
        <v/>
      </c>
      <c r="I20" t="str">
        <f>IF('H.W&amp;S.W&amp;Services'!D34=0,"",'H.W&amp;S.W&amp;Services'!D34)</f>
        <v/>
      </c>
      <c r="J20" s="2" t="str">
        <f>IF('H.W&amp;S.W&amp;Services'!E34=0,"",'H.W&amp;S.W&amp;Services'!E34)</f>
        <v/>
      </c>
    </row>
    <row r="21" spans="1:10" x14ac:dyDescent="0.2">
      <c r="A21" s="2" t="str">
        <f t="shared" ca="1" si="0"/>
        <v/>
      </c>
      <c r="B21" s="2" t="str">
        <f>IF('H.W&amp;S.W&amp;Services'!C35=0,"",'H.W&amp;S.W&amp;Services'!C35)</f>
        <v/>
      </c>
      <c r="C21" s="2" t="str">
        <f>IF('H.W&amp;S.W&amp;Services'!C35=0,"",'H.W&amp;S.W&amp;Services'!C35)</f>
        <v/>
      </c>
      <c r="D21" s="2" t="str">
        <f>IF('H.W&amp;S.W&amp;Services'!H35=0,"",'H.W&amp;S.W&amp;Services'!H35)</f>
        <v/>
      </c>
      <c r="E21" s="2" t="str">
        <f>IF('H.W&amp;S.W&amp;Services'!I35=0,"",'H.W&amp;S.W&amp;Services'!I35)</f>
        <v/>
      </c>
      <c r="F21" s="3" t="str">
        <f>IF('H.W&amp;S.W&amp;Services'!J35=0,"",'H.W&amp;S.W&amp;Services'!J35)</f>
        <v/>
      </c>
      <c r="G21" s="4" t="str">
        <f>IF('H.W&amp;S.W&amp;Services'!O35=0,"",'H.W&amp;S.W&amp;Services'!O35)</f>
        <v/>
      </c>
      <c r="H21" s="2" t="str">
        <f>IF('H.W&amp;S.W&amp;Services'!B35=0,"",'H.W&amp;S.W&amp;Services'!B35) &amp; IF('H.W&amp;S.W&amp;Services'!F35=0,""," / "&amp;'H.W&amp;S.W&amp;Services'!F35) &amp; IF('H.W&amp;S.W&amp;Services'!G35=0,""," / "&amp;'H.W&amp;S.W&amp;Services'!G35)</f>
        <v/>
      </c>
      <c r="I21" t="str">
        <f>IF('H.W&amp;S.W&amp;Services'!D35=0,"",'H.W&amp;S.W&amp;Services'!D35)</f>
        <v/>
      </c>
      <c r="J21" s="2" t="str">
        <f>IF('H.W&amp;S.W&amp;Services'!E35=0,"",'H.W&amp;S.W&amp;Services'!E35)</f>
        <v/>
      </c>
    </row>
    <row r="22" spans="1:10" x14ac:dyDescent="0.2">
      <c r="A22" s="2" t="str">
        <f t="shared" ca="1" si="0"/>
        <v/>
      </c>
      <c r="B22" s="2" t="str">
        <f>IF('H.W&amp;S.W&amp;Services'!C36=0,"",'H.W&amp;S.W&amp;Services'!C36)</f>
        <v/>
      </c>
      <c r="C22" s="2" t="str">
        <f>IF('H.W&amp;S.W&amp;Services'!C36=0,"",'H.W&amp;S.W&amp;Services'!C36)</f>
        <v/>
      </c>
      <c r="D22" s="2" t="str">
        <f>IF('H.W&amp;S.W&amp;Services'!H36=0,"",'H.W&amp;S.W&amp;Services'!H36)</f>
        <v/>
      </c>
      <c r="E22" s="2" t="str">
        <f>IF('H.W&amp;S.W&amp;Services'!I36=0,"",'H.W&amp;S.W&amp;Services'!I36)</f>
        <v/>
      </c>
      <c r="F22" s="3" t="str">
        <f>IF('H.W&amp;S.W&amp;Services'!J36=0,"",'H.W&amp;S.W&amp;Services'!J36)</f>
        <v/>
      </c>
      <c r="G22" s="4" t="str">
        <f>IF('H.W&amp;S.W&amp;Services'!O36=0,"",'H.W&amp;S.W&amp;Services'!O36)</f>
        <v/>
      </c>
      <c r="H22" s="2" t="str">
        <f>IF('H.W&amp;S.W&amp;Services'!B36=0,"",'H.W&amp;S.W&amp;Services'!B36) &amp; IF('H.W&amp;S.W&amp;Services'!F36=0,""," / "&amp;'H.W&amp;S.W&amp;Services'!F36) &amp; IF('H.W&amp;S.W&amp;Services'!G36=0,""," / "&amp;'H.W&amp;S.W&amp;Services'!G36)</f>
        <v/>
      </c>
      <c r="I22" t="str">
        <f>IF('H.W&amp;S.W&amp;Services'!D36=0,"",'H.W&amp;S.W&amp;Services'!D36)</f>
        <v/>
      </c>
      <c r="J22" s="2" t="str">
        <f>IF('H.W&amp;S.W&amp;Services'!E36=0,"",'H.W&amp;S.W&amp;Services'!E36)</f>
        <v/>
      </c>
    </row>
    <row r="23" spans="1:10" x14ac:dyDescent="0.2">
      <c r="A23" s="2" t="str">
        <f t="shared" ca="1" si="0"/>
        <v/>
      </c>
      <c r="B23" s="2" t="str">
        <f>IF('H.W&amp;S.W&amp;Services'!C37=0,"",'H.W&amp;S.W&amp;Services'!C37)</f>
        <v/>
      </c>
      <c r="C23" s="2" t="str">
        <f>IF('H.W&amp;S.W&amp;Services'!C37=0,"",'H.W&amp;S.W&amp;Services'!C37)</f>
        <v/>
      </c>
      <c r="D23" s="2" t="str">
        <f>IF('H.W&amp;S.W&amp;Services'!H37=0,"",'H.W&amp;S.W&amp;Services'!H37)</f>
        <v/>
      </c>
      <c r="E23" s="2" t="str">
        <f>IF('H.W&amp;S.W&amp;Services'!I37=0,"",'H.W&amp;S.W&amp;Services'!I37)</f>
        <v/>
      </c>
      <c r="F23" s="3" t="str">
        <f>IF('H.W&amp;S.W&amp;Services'!J37=0,"",'H.W&amp;S.W&amp;Services'!J37)</f>
        <v/>
      </c>
      <c r="G23" s="4" t="str">
        <f>IF('H.W&amp;S.W&amp;Services'!O37=0,"",'H.W&amp;S.W&amp;Services'!O37)</f>
        <v/>
      </c>
      <c r="H23" s="2" t="str">
        <f>IF('H.W&amp;S.W&amp;Services'!B37=0,"",'H.W&amp;S.W&amp;Services'!B37) &amp; IF('H.W&amp;S.W&amp;Services'!F37=0,""," / "&amp;'H.W&amp;S.W&amp;Services'!F37) &amp; IF('H.W&amp;S.W&amp;Services'!G37=0,""," / "&amp;'H.W&amp;S.W&amp;Services'!G37)</f>
        <v/>
      </c>
      <c r="I23" t="str">
        <f>IF('H.W&amp;S.W&amp;Services'!D37=0,"",'H.W&amp;S.W&amp;Services'!D37)</f>
        <v/>
      </c>
      <c r="J23" s="2" t="str">
        <f>IF('H.W&amp;S.W&amp;Services'!E37=0,"",'H.W&amp;S.W&amp;Services'!E37)</f>
        <v/>
      </c>
    </row>
    <row r="24" spans="1:10" x14ac:dyDescent="0.2">
      <c r="A24" s="2" t="str">
        <f t="shared" ca="1" si="0"/>
        <v/>
      </c>
      <c r="B24" s="2" t="str">
        <f>IF('H.W&amp;S.W&amp;Services'!C38=0,"",'H.W&amp;S.W&amp;Services'!C38)</f>
        <v/>
      </c>
      <c r="C24" s="2" t="str">
        <f>IF('H.W&amp;S.W&amp;Services'!C38=0,"",'H.W&amp;S.W&amp;Services'!C38)</f>
        <v/>
      </c>
      <c r="D24" s="2" t="str">
        <f>IF('H.W&amp;S.W&amp;Services'!H38=0,"",'H.W&amp;S.W&amp;Services'!H38)</f>
        <v/>
      </c>
      <c r="E24" s="2" t="str">
        <f>IF('H.W&amp;S.W&amp;Services'!I38=0,"",'H.W&amp;S.W&amp;Services'!I38)</f>
        <v/>
      </c>
      <c r="F24" s="3" t="str">
        <f>IF('H.W&amp;S.W&amp;Services'!J38=0,"",'H.W&amp;S.W&amp;Services'!J38)</f>
        <v/>
      </c>
      <c r="G24" s="4" t="str">
        <f>IF('H.W&amp;S.W&amp;Services'!O38=0,"",'H.W&amp;S.W&amp;Services'!O38)</f>
        <v/>
      </c>
      <c r="H24" s="2" t="str">
        <f>IF('H.W&amp;S.W&amp;Services'!B38=0,"",'H.W&amp;S.W&amp;Services'!B38) &amp; IF('H.W&amp;S.W&amp;Services'!F38=0,""," / "&amp;'H.W&amp;S.W&amp;Services'!F38) &amp; IF('H.W&amp;S.W&amp;Services'!G38=0,""," / "&amp;'H.W&amp;S.W&amp;Services'!G38)</f>
        <v/>
      </c>
      <c r="I24" t="str">
        <f>IF('H.W&amp;S.W&amp;Services'!D38=0,"",'H.W&amp;S.W&amp;Services'!D38)</f>
        <v/>
      </c>
      <c r="J24" s="2" t="str">
        <f>IF('H.W&amp;S.W&amp;Services'!E38=0,"",'H.W&amp;S.W&amp;Services'!E38)</f>
        <v/>
      </c>
    </row>
    <row r="25" spans="1:10" x14ac:dyDescent="0.2">
      <c r="A25" s="2" t="str">
        <f t="shared" ca="1" si="0"/>
        <v/>
      </c>
      <c r="B25" s="2" t="str">
        <f>IF('H.W&amp;S.W&amp;Services'!C39=0,"",'H.W&amp;S.W&amp;Services'!C39)</f>
        <v/>
      </c>
      <c r="C25" s="2" t="str">
        <f>IF('H.W&amp;S.W&amp;Services'!C39=0,"",'H.W&amp;S.W&amp;Services'!C39)</f>
        <v/>
      </c>
      <c r="D25" s="2" t="str">
        <f>IF('H.W&amp;S.W&amp;Services'!H39=0,"",'H.W&amp;S.W&amp;Services'!H39)</f>
        <v/>
      </c>
      <c r="E25" s="2" t="str">
        <f>IF('H.W&amp;S.W&amp;Services'!I39=0,"",'H.W&amp;S.W&amp;Services'!I39)</f>
        <v/>
      </c>
      <c r="F25" s="3" t="str">
        <f>IF('H.W&amp;S.W&amp;Services'!J39=0,"",'H.W&amp;S.W&amp;Services'!J39)</f>
        <v/>
      </c>
      <c r="G25" s="4" t="str">
        <f>IF('H.W&amp;S.W&amp;Services'!O39=0,"",'H.W&amp;S.W&amp;Services'!O39)</f>
        <v/>
      </c>
      <c r="H25" s="2" t="str">
        <f>IF('H.W&amp;S.W&amp;Services'!B39=0,"",'H.W&amp;S.W&amp;Services'!B39) &amp; IF('H.W&amp;S.W&amp;Services'!F39=0,""," / "&amp;'H.W&amp;S.W&amp;Services'!F39) &amp; IF('H.W&amp;S.W&amp;Services'!G39=0,""," / "&amp;'H.W&amp;S.W&amp;Services'!G39)</f>
        <v/>
      </c>
      <c r="I25" t="str">
        <f>IF('H.W&amp;S.W&amp;Services'!D39=0,"",'H.W&amp;S.W&amp;Services'!D39)</f>
        <v/>
      </c>
      <c r="J25" s="2" t="str">
        <f>IF('H.W&amp;S.W&amp;Services'!E39=0,"",'H.W&amp;S.W&amp;Services'!E39)</f>
        <v/>
      </c>
    </row>
    <row r="26" spans="1:10" x14ac:dyDescent="0.2">
      <c r="A26" s="2" t="str">
        <f t="shared" ca="1" si="0"/>
        <v/>
      </c>
      <c r="B26" s="2" t="str">
        <f>IF('H.W&amp;S.W&amp;Services'!C40=0,"",'H.W&amp;S.W&amp;Services'!C40)</f>
        <v/>
      </c>
      <c r="C26" s="2" t="str">
        <f>IF('H.W&amp;S.W&amp;Services'!C40=0,"",'H.W&amp;S.W&amp;Services'!C40)</f>
        <v/>
      </c>
      <c r="D26" s="2" t="str">
        <f>IF('H.W&amp;S.W&amp;Services'!H40=0,"",'H.W&amp;S.W&amp;Services'!H40)</f>
        <v/>
      </c>
      <c r="E26" s="2" t="str">
        <f>IF('H.W&amp;S.W&amp;Services'!I40=0,"",'H.W&amp;S.W&amp;Services'!I40)</f>
        <v/>
      </c>
      <c r="F26" s="3" t="str">
        <f>IF('H.W&amp;S.W&amp;Services'!J40=0,"",'H.W&amp;S.W&amp;Services'!J40)</f>
        <v/>
      </c>
      <c r="G26" s="4" t="str">
        <f>IF('H.W&amp;S.W&amp;Services'!O40=0,"",'H.W&amp;S.W&amp;Services'!O40)</f>
        <v/>
      </c>
      <c r="H26" s="2" t="str">
        <f>IF('H.W&amp;S.W&amp;Services'!B40=0,"",'H.W&amp;S.W&amp;Services'!B40) &amp; IF('H.W&amp;S.W&amp;Services'!F40=0,""," / "&amp;'H.W&amp;S.W&amp;Services'!F40) &amp; IF('H.W&amp;S.W&amp;Services'!G40=0,""," / "&amp;'H.W&amp;S.W&amp;Services'!G40)</f>
        <v/>
      </c>
      <c r="I26" t="str">
        <f>IF('H.W&amp;S.W&amp;Services'!D40=0,"",'H.W&amp;S.W&amp;Services'!D40)</f>
        <v/>
      </c>
      <c r="J26" s="2" t="str">
        <f>IF('H.W&amp;S.W&amp;Services'!E40=0,"",'H.W&amp;S.W&amp;Services'!E40)</f>
        <v/>
      </c>
    </row>
    <row r="27" spans="1:10" x14ac:dyDescent="0.2">
      <c r="A27" s="2" t="str">
        <f t="shared" ca="1" si="0"/>
        <v/>
      </c>
      <c r="B27" s="2" t="str">
        <f>IF('H.W&amp;S.W&amp;Services'!C41=0,"",'H.W&amp;S.W&amp;Services'!C41)</f>
        <v/>
      </c>
      <c r="C27" s="2" t="str">
        <f>IF('H.W&amp;S.W&amp;Services'!C41=0,"",'H.W&amp;S.W&amp;Services'!C41)</f>
        <v/>
      </c>
      <c r="D27" s="2" t="str">
        <f>IF('H.W&amp;S.W&amp;Services'!H41=0,"",'H.W&amp;S.W&amp;Services'!H41)</f>
        <v/>
      </c>
      <c r="E27" s="2" t="str">
        <f>IF('H.W&amp;S.W&amp;Services'!I41=0,"",'H.W&amp;S.W&amp;Services'!I41)</f>
        <v/>
      </c>
      <c r="F27" s="3" t="str">
        <f>IF('H.W&amp;S.W&amp;Services'!J41=0,"",'H.W&amp;S.W&amp;Services'!J41)</f>
        <v/>
      </c>
      <c r="G27" s="4" t="str">
        <f>IF('H.W&amp;S.W&amp;Services'!O41=0,"",'H.W&amp;S.W&amp;Services'!O41)</f>
        <v/>
      </c>
      <c r="H27" s="2" t="str">
        <f>IF('H.W&amp;S.W&amp;Services'!B41=0,"",'H.W&amp;S.W&amp;Services'!B41) &amp; IF('H.W&amp;S.W&amp;Services'!F41=0,""," / "&amp;'H.W&amp;S.W&amp;Services'!F41) &amp; IF('H.W&amp;S.W&amp;Services'!G41=0,""," / "&amp;'H.W&amp;S.W&amp;Services'!G41)</f>
        <v/>
      </c>
      <c r="I27" t="str">
        <f>IF('H.W&amp;S.W&amp;Services'!D41=0,"",'H.W&amp;S.W&amp;Services'!D41)</f>
        <v/>
      </c>
      <c r="J27" s="2" t="str">
        <f>IF('H.W&amp;S.W&amp;Services'!E41=0,"",'H.W&amp;S.W&amp;Services'!E41)</f>
        <v/>
      </c>
    </row>
    <row r="28" spans="1:10" x14ac:dyDescent="0.2">
      <c r="A28" s="2" t="str">
        <f t="shared" ca="1" si="0"/>
        <v/>
      </c>
      <c r="B28" s="2" t="str">
        <f>IF('H.W&amp;S.W&amp;Services'!C42=0,"",'H.W&amp;S.W&amp;Services'!C42)</f>
        <v/>
      </c>
      <c r="C28" s="2" t="str">
        <f>IF('H.W&amp;S.W&amp;Services'!C42=0,"",'H.W&amp;S.W&amp;Services'!C42)</f>
        <v/>
      </c>
      <c r="D28" s="2" t="str">
        <f>IF('H.W&amp;S.W&amp;Services'!H42=0,"",'H.W&amp;S.W&amp;Services'!H42)</f>
        <v/>
      </c>
      <c r="E28" s="2" t="str">
        <f>IF('H.W&amp;S.W&amp;Services'!I42=0,"",'H.W&amp;S.W&amp;Services'!I42)</f>
        <v/>
      </c>
      <c r="F28" s="3" t="str">
        <f>IF('H.W&amp;S.W&amp;Services'!J42=0,"",'H.W&amp;S.W&amp;Services'!J42)</f>
        <v/>
      </c>
      <c r="G28" s="4" t="str">
        <f>IF('H.W&amp;S.W&amp;Services'!O42=0,"",'H.W&amp;S.W&amp;Services'!O42)</f>
        <v/>
      </c>
      <c r="H28" s="2" t="str">
        <f>IF('H.W&amp;S.W&amp;Services'!B42=0,"",'H.W&amp;S.W&amp;Services'!B42) &amp; IF('H.W&amp;S.W&amp;Services'!F42=0,""," / "&amp;'H.W&amp;S.W&amp;Services'!F42) &amp; IF('H.W&amp;S.W&amp;Services'!G42=0,""," / "&amp;'H.W&amp;S.W&amp;Services'!G42)</f>
        <v/>
      </c>
      <c r="I28" t="str">
        <f>IF('H.W&amp;S.W&amp;Services'!D42=0,"",'H.W&amp;S.W&amp;Services'!D42)</f>
        <v/>
      </c>
      <c r="J28" s="2" t="str">
        <f>IF('H.W&amp;S.W&amp;Services'!E42=0,"",'H.W&amp;S.W&amp;Services'!E42)</f>
        <v/>
      </c>
    </row>
    <row r="29" spans="1:10" x14ac:dyDescent="0.2">
      <c r="A29" s="2" t="str">
        <f t="shared" ca="1" si="0"/>
        <v/>
      </c>
      <c r="B29" s="2" t="str">
        <f>IF('H.W&amp;S.W&amp;Services'!C43=0,"",'H.W&amp;S.W&amp;Services'!C43)</f>
        <v/>
      </c>
      <c r="C29" s="2" t="str">
        <f>IF('H.W&amp;S.W&amp;Services'!C43=0,"",'H.W&amp;S.W&amp;Services'!C43)</f>
        <v/>
      </c>
      <c r="D29" s="2" t="str">
        <f>IF('H.W&amp;S.W&amp;Services'!H43=0,"",'H.W&amp;S.W&amp;Services'!H43)</f>
        <v/>
      </c>
      <c r="E29" s="2" t="str">
        <f>IF('H.W&amp;S.W&amp;Services'!I43=0,"",'H.W&amp;S.W&amp;Services'!I43)</f>
        <v/>
      </c>
      <c r="F29" s="3" t="str">
        <f>IF('H.W&amp;S.W&amp;Services'!J43=0,"",'H.W&amp;S.W&amp;Services'!J43)</f>
        <v/>
      </c>
      <c r="G29" s="4" t="str">
        <f>IF('H.W&amp;S.W&amp;Services'!O43=0,"",'H.W&amp;S.W&amp;Services'!O43)</f>
        <v/>
      </c>
      <c r="H29" s="2" t="str">
        <f>IF('H.W&amp;S.W&amp;Services'!B43=0,"",'H.W&amp;S.W&amp;Services'!B43) &amp; IF('H.W&amp;S.W&amp;Services'!F43=0,""," / "&amp;'H.W&amp;S.W&amp;Services'!F43) &amp; IF('H.W&amp;S.W&amp;Services'!G43=0,""," / "&amp;'H.W&amp;S.W&amp;Services'!G43)</f>
        <v/>
      </c>
      <c r="I29" t="str">
        <f>IF('H.W&amp;S.W&amp;Services'!D43=0,"",'H.W&amp;S.W&amp;Services'!D43)</f>
        <v/>
      </c>
      <c r="J29" s="2" t="str">
        <f>IF('H.W&amp;S.W&amp;Services'!E43=0,"",'H.W&amp;S.W&amp;Services'!E43)</f>
        <v/>
      </c>
    </row>
    <row r="30" spans="1:10" x14ac:dyDescent="0.2">
      <c r="A30" s="2" t="str">
        <f t="shared" ca="1" si="0"/>
        <v/>
      </c>
      <c r="B30" s="2" t="str">
        <f>IF('H.W&amp;S.W&amp;Services'!C44=0,"",'H.W&amp;S.W&amp;Services'!C44)</f>
        <v/>
      </c>
      <c r="C30" s="2" t="str">
        <f>IF('H.W&amp;S.W&amp;Services'!C44=0,"",'H.W&amp;S.W&amp;Services'!C44)</f>
        <v/>
      </c>
      <c r="D30" s="2" t="str">
        <f>IF('H.W&amp;S.W&amp;Services'!H44=0,"",'H.W&amp;S.W&amp;Services'!H44)</f>
        <v/>
      </c>
      <c r="E30" s="2" t="str">
        <f>IF('H.W&amp;S.W&amp;Services'!I44=0,"",'H.W&amp;S.W&amp;Services'!I44)</f>
        <v/>
      </c>
      <c r="F30" s="3" t="str">
        <f>IF('H.W&amp;S.W&amp;Services'!J44=0,"",'H.W&amp;S.W&amp;Services'!J44)</f>
        <v/>
      </c>
      <c r="G30" s="4" t="str">
        <f>IF('H.W&amp;S.W&amp;Services'!O44=0,"",'H.W&amp;S.W&amp;Services'!O44)</f>
        <v/>
      </c>
      <c r="H30" s="2" t="str">
        <f>IF('H.W&amp;S.W&amp;Services'!B44=0,"",'H.W&amp;S.W&amp;Services'!B44) &amp; IF('H.W&amp;S.W&amp;Services'!F44=0,""," / "&amp;'H.W&amp;S.W&amp;Services'!F44) &amp; IF('H.W&amp;S.W&amp;Services'!G44=0,""," / "&amp;'H.W&amp;S.W&amp;Services'!G44)</f>
        <v/>
      </c>
      <c r="I30" t="str">
        <f>IF('H.W&amp;S.W&amp;Services'!D44=0,"",'H.W&amp;S.W&amp;Services'!D44)</f>
        <v/>
      </c>
      <c r="J30" s="2" t="str">
        <f>IF('H.W&amp;S.W&amp;Services'!E44=0,"",'H.W&amp;S.W&amp;Services'!E44)</f>
        <v/>
      </c>
    </row>
    <row r="31" spans="1:10" x14ac:dyDescent="0.2">
      <c r="A31" s="2" t="str">
        <f t="shared" ca="1" si="0"/>
        <v/>
      </c>
      <c r="B31" s="2" t="str">
        <f>IF('H.W&amp;S.W&amp;Services'!C45=0,"",'H.W&amp;S.W&amp;Services'!C45)</f>
        <v/>
      </c>
      <c r="C31" s="2" t="str">
        <f>IF('H.W&amp;S.W&amp;Services'!C45=0,"",'H.W&amp;S.W&amp;Services'!C45)</f>
        <v/>
      </c>
      <c r="D31" s="2" t="str">
        <f>IF('H.W&amp;S.W&amp;Services'!H45=0,"",'H.W&amp;S.W&amp;Services'!H45)</f>
        <v/>
      </c>
      <c r="E31" s="2" t="str">
        <f>IF('H.W&amp;S.W&amp;Services'!I45=0,"",'H.W&amp;S.W&amp;Services'!I45)</f>
        <v/>
      </c>
      <c r="F31" s="3" t="str">
        <f>IF('H.W&amp;S.W&amp;Services'!J45=0,"",'H.W&amp;S.W&amp;Services'!J45)</f>
        <v/>
      </c>
      <c r="G31" s="4" t="str">
        <f>IF('H.W&amp;S.W&amp;Services'!O45=0,"",'H.W&amp;S.W&amp;Services'!O45)</f>
        <v/>
      </c>
      <c r="H31" s="2" t="str">
        <f>IF('H.W&amp;S.W&amp;Services'!B45=0,"",'H.W&amp;S.W&amp;Services'!B45) &amp; IF('H.W&amp;S.W&amp;Services'!F45=0,""," / "&amp;'H.W&amp;S.W&amp;Services'!F45) &amp; IF('H.W&amp;S.W&amp;Services'!G45=0,""," / "&amp;'H.W&amp;S.W&amp;Services'!G45)</f>
        <v/>
      </c>
      <c r="I31" t="str">
        <f>IF('H.W&amp;S.W&amp;Services'!D45=0,"",'H.W&amp;S.W&amp;Services'!D45)</f>
        <v/>
      </c>
      <c r="J31" s="2" t="str">
        <f>IF('H.W&amp;S.W&amp;Services'!E45=0,"",'H.W&amp;S.W&amp;Services'!E45)</f>
        <v/>
      </c>
    </row>
    <row r="32" spans="1:10" x14ac:dyDescent="0.2">
      <c r="A32" s="2" t="str">
        <f t="shared" ca="1" si="0"/>
        <v/>
      </c>
      <c r="B32" s="2" t="str">
        <f>IF('H.W&amp;S.W&amp;Services'!C46=0,"",'H.W&amp;S.W&amp;Services'!C46)</f>
        <v/>
      </c>
      <c r="C32" s="2" t="str">
        <f>IF('H.W&amp;S.W&amp;Services'!C46=0,"",'H.W&amp;S.W&amp;Services'!C46)</f>
        <v/>
      </c>
      <c r="D32" s="2" t="str">
        <f>IF('H.W&amp;S.W&amp;Services'!H46=0,"",'H.W&amp;S.W&amp;Services'!H46)</f>
        <v/>
      </c>
      <c r="E32" s="2" t="str">
        <f>IF('H.W&amp;S.W&amp;Services'!I46=0,"",'H.W&amp;S.W&amp;Services'!I46)</f>
        <v/>
      </c>
      <c r="F32" s="3" t="str">
        <f>IF('H.W&amp;S.W&amp;Services'!J46=0,"",'H.W&amp;S.W&amp;Services'!J46)</f>
        <v/>
      </c>
      <c r="G32" s="4" t="str">
        <f>IF('H.W&amp;S.W&amp;Services'!O46=0,"",'H.W&amp;S.W&amp;Services'!O46)</f>
        <v/>
      </c>
      <c r="H32" s="2" t="str">
        <f>IF('H.W&amp;S.W&amp;Services'!B46=0,"",'H.W&amp;S.W&amp;Services'!B46) &amp; IF('H.W&amp;S.W&amp;Services'!F46=0,""," / "&amp;'H.W&amp;S.W&amp;Services'!F46) &amp; IF('H.W&amp;S.W&amp;Services'!G46=0,""," / "&amp;'H.W&amp;S.W&amp;Services'!G46)</f>
        <v/>
      </c>
      <c r="I32" t="str">
        <f>IF('H.W&amp;S.W&amp;Services'!D46=0,"",'H.W&amp;S.W&amp;Services'!D46)</f>
        <v/>
      </c>
      <c r="J32" s="2" t="str">
        <f>IF('H.W&amp;S.W&amp;Services'!E46=0,"",'H.W&amp;S.W&amp;Services'!E46)</f>
        <v/>
      </c>
    </row>
    <row r="33" spans="1:10" x14ac:dyDescent="0.2">
      <c r="A33" s="2" t="str">
        <f t="shared" ca="1" si="0"/>
        <v/>
      </c>
      <c r="B33" s="2" t="str">
        <f>IF('H.W&amp;S.W&amp;Services'!C47=0,"",'H.W&amp;S.W&amp;Services'!C47)</f>
        <v/>
      </c>
      <c r="C33" s="2" t="str">
        <f>IF('H.W&amp;S.W&amp;Services'!C47=0,"",'H.W&amp;S.W&amp;Services'!C47)</f>
        <v/>
      </c>
      <c r="D33" s="2" t="str">
        <f>IF('H.W&amp;S.W&amp;Services'!H47=0,"",'H.W&amp;S.W&amp;Services'!H47)</f>
        <v/>
      </c>
      <c r="E33" s="2" t="str">
        <f>IF('H.W&amp;S.W&amp;Services'!I47=0,"",'H.W&amp;S.W&amp;Services'!I47)</f>
        <v/>
      </c>
      <c r="F33" s="3" t="str">
        <f>IF('H.W&amp;S.W&amp;Services'!J47=0,"",'H.W&amp;S.W&amp;Services'!J47)</f>
        <v/>
      </c>
      <c r="G33" s="4" t="str">
        <f>IF('H.W&amp;S.W&amp;Services'!O47=0,"",'H.W&amp;S.W&amp;Services'!O47)</f>
        <v/>
      </c>
      <c r="H33" s="2" t="str">
        <f>IF('H.W&amp;S.W&amp;Services'!B47=0,"",'H.W&amp;S.W&amp;Services'!B47) &amp; IF('H.W&amp;S.W&amp;Services'!F47=0,""," / "&amp;'H.W&amp;S.W&amp;Services'!F47) &amp; IF('H.W&amp;S.W&amp;Services'!G47=0,""," / "&amp;'H.W&amp;S.W&amp;Services'!G47)</f>
        <v/>
      </c>
      <c r="I33" t="str">
        <f>IF('H.W&amp;S.W&amp;Services'!D47=0,"",'H.W&amp;S.W&amp;Services'!D47)</f>
        <v/>
      </c>
      <c r="J33" s="2" t="str">
        <f>IF('H.W&amp;S.W&amp;Services'!E47=0,"",'H.W&amp;S.W&amp;Services'!E47)</f>
        <v/>
      </c>
    </row>
    <row r="34" spans="1:10" x14ac:dyDescent="0.2">
      <c r="A34" s="2" t="str">
        <f t="shared" ca="1" si="0"/>
        <v/>
      </c>
      <c r="B34" s="2" t="str">
        <f>IF('H.W&amp;S.W&amp;Services'!C48=0,"",'H.W&amp;S.W&amp;Services'!C48)</f>
        <v/>
      </c>
      <c r="C34" s="2" t="str">
        <f>IF('H.W&amp;S.W&amp;Services'!C48=0,"",'H.W&amp;S.W&amp;Services'!C48)</f>
        <v/>
      </c>
      <c r="D34" s="2" t="str">
        <f>IF('H.W&amp;S.W&amp;Services'!H48=0,"",'H.W&amp;S.W&amp;Services'!H48)</f>
        <v/>
      </c>
      <c r="E34" s="2" t="str">
        <f>IF('H.W&amp;S.W&amp;Services'!I48=0,"",'H.W&amp;S.W&amp;Services'!I48)</f>
        <v/>
      </c>
      <c r="F34" s="3" t="str">
        <f>IF('H.W&amp;S.W&amp;Services'!J48=0,"",'H.W&amp;S.W&amp;Services'!J48)</f>
        <v/>
      </c>
      <c r="G34" s="4" t="str">
        <f>IF('H.W&amp;S.W&amp;Services'!O48=0,"",'H.W&amp;S.W&amp;Services'!O48)</f>
        <v/>
      </c>
      <c r="H34" s="2" t="str">
        <f>IF('H.W&amp;S.W&amp;Services'!B48=0,"",'H.W&amp;S.W&amp;Services'!B48) &amp; IF('H.W&amp;S.W&amp;Services'!F48=0,""," / "&amp;'H.W&amp;S.W&amp;Services'!F48) &amp; IF('H.W&amp;S.W&amp;Services'!G48=0,""," / "&amp;'H.W&amp;S.W&amp;Services'!G48)</f>
        <v/>
      </c>
      <c r="I34" t="str">
        <f>IF('H.W&amp;S.W&amp;Services'!D48=0,"",'H.W&amp;S.W&amp;Services'!D48)</f>
        <v/>
      </c>
      <c r="J34" s="2" t="str">
        <f>IF('H.W&amp;S.W&amp;Services'!E48=0,"",'H.W&amp;S.W&amp;Services'!E48)</f>
        <v/>
      </c>
    </row>
    <row r="35" spans="1:10" x14ac:dyDescent="0.2">
      <c r="A35" s="2" t="str">
        <f t="shared" ca="1" si="0"/>
        <v/>
      </c>
      <c r="B35" s="2" t="str">
        <f>IF('H.W&amp;S.W&amp;Services'!C49=0,"",'H.W&amp;S.W&amp;Services'!C49)</f>
        <v/>
      </c>
      <c r="C35" s="2" t="str">
        <f>IF('H.W&amp;S.W&amp;Services'!C49=0,"",'H.W&amp;S.W&amp;Services'!C49)</f>
        <v/>
      </c>
      <c r="D35" s="2" t="str">
        <f>IF('H.W&amp;S.W&amp;Services'!H49=0,"",'H.W&amp;S.W&amp;Services'!H49)</f>
        <v/>
      </c>
      <c r="E35" s="2" t="str">
        <f>IF('H.W&amp;S.W&amp;Services'!I49=0,"",'H.W&amp;S.W&amp;Services'!I49)</f>
        <v/>
      </c>
      <c r="F35" s="3" t="str">
        <f>IF('H.W&amp;S.W&amp;Services'!J49=0,"",'H.W&amp;S.W&amp;Services'!J49)</f>
        <v/>
      </c>
      <c r="G35" s="4" t="str">
        <f>IF('H.W&amp;S.W&amp;Services'!O49=0,"",'H.W&amp;S.W&amp;Services'!O49)</f>
        <v/>
      </c>
      <c r="H35" s="2" t="str">
        <f>IF('H.W&amp;S.W&amp;Services'!B49=0,"",'H.W&amp;S.W&amp;Services'!B49) &amp; IF('H.W&amp;S.W&amp;Services'!F49=0,""," / "&amp;'H.W&amp;S.W&amp;Services'!F49) &amp; IF('H.W&amp;S.W&amp;Services'!G49=0,""," / "&amp;'H.W&amp;S.W&amp;Services'!G49)</f>
        <v/>
      </c>
      <c r="I35" t="str">
        <f>IF('H.W&amp;S.W&amp;Services'!D49=0,"",'H.W&amp;S.W&amp;Services'!D49)</f>
        <v/>
      </c>
      <c r="J35" s="2" t="str">
        <f>IF('H.W&amp;S.W&amp;Services'!E49=0,"",'H.W&amp;S.W&amp;Services'!E49)</f>
        <v/>
      </c>
    </row>
    <row r="36" spans="1:10" x14ac:dyDescent="0.2">
      <c r="A36" s="2" t="str">
        <f t="shared" ca="1" si="0"/>
        <v/>
      </c>
      <c r="B36" s="2" t="str">
        <f>IF('H.W&amp;S.W&amp;Services'!C50=0,"",'H.W&amp;S.W&amp;Services'!C50)</f>
        <v/>
      </c>
      <c r="C36" s="2" t="str">
        <f>IF('H.W&amp;S.W&amp;Services'!C50=0,"",'H.W&amp;S.W&amp;Services'!C50)</f>
        <v/>
      </c>
      <c r="D36" s="2" t="str">
        <f>IF('H.W&amp;S.W&amp;Services'!H50=0,"",'H.W&amp;S.W&amp;Services'!H50)</f>
        <v/>
      </c>
      <c r="E36" s="2" t="str">
        <f>IF('H.W&amp;S.W&amp;Services'!I50=0,"",'H.W&amp;S.W&amp;Services'!I50)</f>
        <v/>
      </c>
      <c r="F36" s="3" t="str">
        <f>IF('H.W&amp;S.W&amp;Services'!J50=0,"",'H.W&amp;S.W&amp;Services'!J50)</f>
        <v/>
      </c>
      <c r="G36" s="4" t="str">
        <f>IF('H.W&amp;S.W&amp;Services'!O50=0,"",'H.W&amp;S.W&amp;Services'!O50)</f>
        <v/>
      </c>
      <c r="H36" s="2" t="str">
        <f>IF('H.W&amp;S.W&amp;Services'!B50=0,"",'H.W&amp;S.W&amp;Services'!B50) &amp; IF('H.W&amp;S.W&amp;Services'!F50=0,""," / "&amp;'H.W&amp;S.W&amp;Services'!F50) &amp; IF('H.W&amp;S.W&amp;Services'!G50=0,""," / "&amp;'H.W&amp;S.W&amp;Services'!G50)</f>
        <v/>
      </c>
      <c r="I36" t="str">
        <f>IF('H.W&amp;S.W&amp;Services'!D50=0,"",'H.W&amp;S.W&amp;Services'!D50)</f>
        <v/>
      </c>
      <c r="J36" s="2" t="str">
        <f>IF('H.W&amp;S.W&amp;Services'!E50=0,"",'H.W&amp;S.W&amp;Services'!E50)</f>
        <v/>
      </c>
    </row>
    <row r="37" spans="1:10" x14ac:dyDescent="0.2">
      <c r="A37" s="2" t="str">
        <f t="shared" ca="1" si="0"/>
        <v/>
      </c>
      <c r="B37" s="2" t="str">
        <f>IF('H.W&amp;S.W&amp;Services'!C51=0,"",'H.W&amp;S.W&amp;Services'!C51)</f>
        <v/>
      </c>
      <c r="C37" s="2" t="str">
        <f>IF('H.W&amp;S.W&amp;Services'!C51=0,"",'H.W&amp;S.W&amp;Services'!C51)</f>
        <v/>
      </c>
      <c r="D37" s="2" t="str">
        <f>IF('H.W&amp;S.W&amp;Services'!H51=0,"",'H.W&amp;S.W&amp;Services'!H51)</f>
        <v/>
      </c>
      <c r="E37" s="2" t="str">
        <f>IF('H.W&amp;S.W&amp;Services'!I51=0,"",'H.W&amp;S.W&amp;Services'!I51)</f>
        <v/>
      </c>
      <c r="F37" s="3" t="str">
        <f>IF('H.W&amp;S.W&amp;Services'!J51=0,"",'H.W&amp;S.W&amp;Services'!J51)</f>
        <v/>
      </c>
      <c r="G37" s="4" t="str">
        <f>IF('H.W&amp;S.W&amp;Services'!O51=0,"",'H.W&amp;S.W&amp;Services'!O51)</f>
        <v/>
      </c>
      <c r="H37" s="2" t="str">
        <f>IF('H.W&amp;S.W&amp;Services'!B51=0,"",'H.W&amp;S.W&amp;Services'!B51) &amp; IF('H.W&amp;S.W&amp;Services'!F51=0,""," / "&amp;'H.W&amp;S.W&amp;Services'!F51) &amp; IF('H.W&amp;S.W&amp;Services'!G51=0,""," / "&amp;'H.W&amp;S.W&amp;Services'!G51)</f>
        <v/>
      </c>
      <c r="I37" t="str">
        <f>IF('H.W&amp;S.W&amp;Services'!D51=0,"",'H.W&amp;S.W&amp;Services'!D51)</f>
        <v/>
      </c>
      <c r="J37" s="2" t="str">
        <f>IF('H.W&amp;S.W&amp;Services'!E51=0,"",'H.W&amp;S.W&amp;Services'!E51)</f>
        <v/>
      </c>
    </row>
    <row r="38" spans="1:10" x14ac:dyDescent="0.2">
      <c r="A38" s="2" t="str">
        <f t="shared" ca="1" si="0"/>
        <v/>
      </c>
      <c r="B38" s="2" t="str">
        <f>IF('H.W&amp;S.W&amp;Services'!C52=0,"",'H.W&amp;S.W&amp;Services'!C52)</f>
        <v/>
      </c>
      <c r="C38" s="2" t="str">
        <f>IF('H.W&amp;S.W&amp;Services'!C52=0,"",'H.W&amp;S.W&amp;Services'!C52)</f>
        <v/>
      </c>
      <c r="D38" s="2" t="str">
        <f>IF('H.W&amp;S.W&amp;Services'!H52=0,"",'H.W&amp;S.W&amp;Services'!H52)</f>
        <v/>
      </c>
      <c r="E38" s="2" t="str">
        <f>IF('H.W&amp;S.W&amp;Services'!I52=0,"",'H.W&amp;S.W&amp;Services'!I52)</f>
        <v/>
      </c>
      <c r="F38" s="3" t="str">
        <f>IF('H.W&amp;S.W&amp;Services'!J52=0,"",'H.W&amp;S.W&amp;Services'!J52)</f>
        <v/>
      </c>
      <c r="G38" s="4" t="str">
        <f>IF('H.W&amp;S.W&amp;Services'!O52=0,"",'H.W&amp;S.W&amp;Services'!O52)</f>
        <v/>
      </c>
      <c r="H38" s="2" t="str">
        <f>IF('H.W&amp;S.W&amp;Services'!B52=0,"",'H.W&amp;S.W&amp;Services'!B52) &amp; IF('H.W&amp;S.W&amp;Services'!F52=0,""," / "&amp;'H.W&amp;S.W&amp;Services'!F52) &amp; IF('H.W&amp;S.W&amp;Services'!G52=0,""," / "&amp;'H.W&amp;S.W&amp;Services'!G52)</f>
        <v/>
      </c>
      <c r="I38" t="str">
        <f>IF('H.W&amp;S.W&amp;Services'!D52=0,"",'H.W&amp;S.W&amp;Services'!D52)</f>
        <v/>
      </c>
      <c r="J38" s="2" t="str">
        <f>IF('H.W&amp;S.W&amp;Services'!E52=0,"",'H.W&amp;S.W&amp;Services'!E52)</f>
        <v/>
      </c>
    </row>
    <row r="39" spans="1:10" x14ac:dyDescent="0.2">
      <c r="A39" s="2" t="str">
        <f t="shared" ca="1" si="0"/>
        <v/>
      </c>
      <c r="B39" s="2" t="str">
        <f>IF('H.W&amp;S.W&amp;Services'!C53=0,"",'H.W&amp;S.W&amp;Services'!C53)</f>
        <v/>
      </c>
      <c r="C39" s="2" t="str">
        <f>IF('H.W&amp;S.W&amp;Services'!C53=0,"",'H.W&amp;S.W&amp;Services'!C53)</f>
        <v/>
      </c>
      <c r="D39" s="2" t="str">
        <f>IF('H.W&amp;S.W&amp;Services'!H53=0,"",'H.W&amp;S.W&amp;Services'!H53)</f>
        <v/>
      </c>
      <c r="E39" s="2" t="str">
        <f>IF('H.W&amp;S.W&amp;Services'!I53=0,"",'H.W&amp;S.W&amp;Services'!I53)</f>
        <v/>
      </c>
      <c r="F39" s="3" t="str">
        <f>IF('H.W&amp;S.W&amp;Services'!J53=0,"",'H.W&amp;S.W&amp;Services'!J53)</f>
        <v/>
      </c>
      <c r="G39" s="4" t="str">
        <f>IF('H.W&amp;S.W&amp;Services'!O53=0,"",'H.W&amp;S.W&amp;Services'!O53)</f>
        <v/>
      </c>
      <c r="H39" s="2" t="str">
        <f>IF('H.W&amp;S.W&amp;Services'!B53=0,"",'H.W&amp;S.W&amp;Services'!B53) &amp; IF('H.W&amp;S.W&amp;Services'!F53=0,""," / "&amp;'H.W&amp;S.W&amp;Services'!F53) &amp; IF('H.W&amp;S.W&amp;Services'!G53=0,""," / "&amp;'H.W&amp;S.W&amp;Services'!G53)</f>
        <v/>
      </c>
      <c r="I39" t="str">
        <f>IF('H.W&amp;S.W&amp;Services'!D53=0,"",'H.W&amp;S.W&amp;Services'!D53)</f>
        <v/>
      </c>
      <c r="J39" s="2" t="str">
        <f>IF('H.W&amp;S.W&amp;Services'!E53=0,"",'H.W&amp;S.W&amp;Services'!E53)</f>
        <v/>
      </c>
    </row>
    <row r="40" spans="1:10" x14ac:dyDescent="0.2">
      <c r="A40" s="2" t="str">
        <f t="shared" ca="1" si="0"/>
        <v/>
      </c>
      <c r="B40" s="2" t="str">
        <f>IF('H.W&amp;S.W&amp;Services'!C54=0,"",'H.W&amp;S.W&amp;Services'!C54)</f>
        <v/>
      </c>
      <c r="C40" s="2" t="str">
        <f>IF('H.W&amp;S.W&amp;Services'!C54=0,"",'H.W&amp;S.W&amp;Services'!C54)</f>
        <v/>
      </c>
      <c r="D40" s="2" t="str">
        <f>IF('H.W&amp;S.W&amp;Services'!H54=0,"",'H.W&amp;S.W&amp;Services'!H54)</f>
        <v/>
      </c>
      <c r="E40" s="2" t="str">
        <f>IF('H.W&amp;S.W&amp;Services'!I54=0,"",'H.W&amp;S.W&amp;Services'!I54)</f>
        <v/>
      </c>
      <c r="F40" s="3" t="str">
        <f>IF('H.W&amp;S.W&amp;Services'!J54=0,"",'H.W&amp;S.W&amp;Services'!J54)</f>
        <v/>
      </c>
      <c r="G40" s="4" t="str">
        <f>IF('H.W&amp;S.W&amp;Services'!O54=0,"",'H.W&amp;S.W&amp;Services'!O54)</f>
        <v/>
      </c>
      <c r="H40" s="2" t="str">
        <f>IF('H.W&amp;S.W&amp;Services'!B54=0,"",'H.W&amp;S.W&amp;Services'!B54) &amp; IF('H.W&amp;S.W&amp;Services'!F54=0,""," / "&amp;'H.W&amp;S.W&amp;Services'!F54) &amp; IF('H.W&amp;S.W&amp;Services'!G54=0,""," / "&amp;'H.W&amp;S.W&amp;Services'!G54)</f>
        <v/>
      </c>
      <c r="I40" t="str">
        <f>IF('H.W&amp;S.W&amp;Services'!D54=0,"",'H.W&amp;S.W&amp;Services'!D54)</f>
        <v/>
      </c>
      <c r="J40" s="2" t="str">
        <f>IF('H.W&amp;S.W&amp;Services'!E54=0,"",'H.W&amp;S.W&amp;Services'!E54)</f>
        <v/>
      </c>
    </row>
    <row r="41" spans="1:10" x14ac:dyDescent="0.2">
      <c r="A41" s="2" t="str">
        <f t="shared" ca="1" si="0"/>
        <v/>
      </c>
      <c r="B41" s="2" t="str">
        <f>IF('H.W&amp;S.W&amp;Services'!C55=0,"",'H.W&amp;S.W&amp;Services'!C55)</f>
        <v/>
      </c>
      <c r="C41" s="2" t="str">
        <f>IF('H.W&amp;S.W&amp;Services'!C55=0,"",'H.W&amp;S.W&amp;Services'!C55)</f>
        <v/>
      </c>
      <c r="D41" s="2" t="str">
        <f>IF('H.W&amp;S.W&amp;Services'!H55=0,"",'H.W&amp;S.W&amp;Services'!H55)</f>
        <v/>
      </c>
      <c r="E41" s="2" t="str">
        <f>IF('H.W&amp;S.W&amp;Services'!I55=0,"",'H.W&amp;S.W&amp;Services'!I55)</f>
        <v/>
      </c>
      <c r="F41" s="3" t="str">
        <f>IF('H.W&amp;S.W&amp;Services'!J55=0,"",'H.W&amp;S.W&amp;Services'!J55)</f>
        <v/>
      </c>
      <c r="G41" s="4" t="str">
        <f>IF('H.W&amp;S.W&amp;Services'!O55=0,"",'H.W&amp;S.W&amp;Services'!O55)</f>
        <v/>
      </c>
      <c r="H41" s="2" t="str">
        <f>IF('H.W&amp;S.W&amp;Services'!B55=0,"",'H.W&amp;S.W&amp;Services'!B55) &amp; IF('H.W&amp;S.W&amp;Services'!F55=0,""," / "&amp;'H.W&amp;S.W&amp;Services'!F55) &amp; IF('H.W&amp;S.W&amp;Services'!G55=0,""," / "&amp;'H.W&amp;S.W&amp;Services'!G55)</f>
        <v/>
      </c>
      <c r="I41" t="str">
        <f>IF('H.W&amp;S.W&amp;Services'!D55=0,"",'H.W&amp;S.W&amp;Services'!D55)</f>
        <v/>
      </c>
      <c r="J41" s="2" t="str">
        <f>IF('H.W&amp;S.W&amp;Services'!E55=0,"",'H.W&amp;S.W&amp;Services'!E55)</f>
        <v/>
      </c>
    </row>
    <row r="42" spans="1:10" x14ac:dyDescent="0.2">
      <c r="A42" s="2" t="str">
        <f t="shared" ca="1" si="0"/>
        <v/>
      </c>
      <c r="B42" s="2" t="str">
        <f>IF('H.W&amp;S.W&amp;Services'!C56=0,"",'H.W&amp;S.W&amp;Services'!C56)</f>
        <v/>
      </c>
      <c r="C42" s="2" t="str">
        <f>IF('H.W&amp;S.W&amp;Services'!C56=0,"",'H.W&amp;S.W&amp;Services'!C56)</f>
        <v/>
      </c>
      <c r="D42" s="2" t="str">
        <f>IF('H.W&amp;S.W&amp;Services'!H56=0,"",'H.W&amp;S.W&amp;Services'!H56)</f>
        <v/>
      </c>
      <c r="E42" s="2" t="str">
        <f>IF('H.W&amp;S.W&amp;Services'!I56=0,"",'H.W&amp;S.W&amp;Services'!I56)</f>
        <v/>
      </c>
      <c r="F42" s="3" t="str">
        <f>IF('H.W&amp;S.W&amp;Services'!J56=0,"",'H.W&amp;S.W&amp;Services'!J56)</f>
        <v/>
      </c>
      <c r="G42" s="4" t="str">
        <f>IF('H.W&amp;S.W&amp;Services'!O56=0,"",'H.W&amp;S.W&amp;Services'!O56)</f>
        <v/>
      </c>
      <c r="H42" s="2" t="str">
        <f>IF('H.W&amp;S.W&amp;Services'!B56=0,"",'H.W&amp;S.W&amp;Services'!B56) &amp; IF('H.W&amp;S.W&amp;Services'!F56=0,""," / "&amp;'H.W&amp;S.W&amp;Services'!F56) &amp; IF('H.W&amp;S.W&amp;Services'!G56=0,""," / "&amp;'H.W&amp;S.W&amp;Services'!G56)</f>
        <v/>
      </c>
      <c r="I42" t="str">
        <f>IF('H.W&amp;S.W&amp;Services'!D56=0,"",'H.W&amp;S.W&amp;Services'!D56)</f>
        <v/>
      </c>
      <c r="J42" s="2" t="str">
        <f>IF('H.W&amp;S.W&amp;Services'!E56=0,"",'H.W&amp;S.W&amp;Services'!E56)</f>
        <v/>
      </c>
    </row>
    <row r="43" spans="1:10" x14ac:dyDescent="0.2">
      <c r="A43" s="2" t="str">
        <f t="shared" ca="1" si="0"/>
        <v/>
      </c>
      <c r="B43" s="2" t="str">
        <f>IF('H.W&amp;S.W&amp;Services'!C57=0,"",'H.W&amp;S.W&amp;Services'!C57)</f>
        <v/>
      </c>
      <c r="C43" s="2" t="str">
        <f>IF('H.W&amp;S.W&amp;Services'!C57=0,"",'H.W&amp;S.W&amp;Services'!C57)</f>
        <v/>
      </c>
      <c r="D43" s="2" t="str">
        <f>IF('H.W&amp;S.W&amp;Services'!H57=0,"",'H.W&amp;S.W&amp;Services'!H57)</f>
        <v/>
      </c>
      <c r="E43" s="2" t="str">
        <f>IF('H.W&amp;S.W&amp;Services'!I57=0,"",'H.W&amp;S.W&amp;Services'!I57)</f>
        <v/>
      </c>
      <c r="F43" s="3" t="str">
        <f>IF('H.W&amp;S.W&amp;Services'!J57=0,"",'H.W&amp;S.W&amp;Services'!J57)</f>
        <v/>
      </c>
      <c r="G43" s="4" t="str">
        <f>IF('H.W&amp;S.W&amp;Services'!O57=0,"",'H.W&amp;S.W&amp;Services'!O57)</f>
        <v/>
      </c>
      <c r="H43" s="2" t="str">
        <f>IF('H.W&amp;S.W&amp;Services'!B57=0,"",'H.W&amp;S.W&amp;Services'!B57) &amp; IF('H.W&amp;S.W&amp;Services'!F57=0,""," / "&amp;'H.W&amp;S.W&amp;Services'!F57) &amp; IF('H.W&amp;S.W&amp;Services'!G57=0,""," / "&amp;'H.W&amp;S.W&amp;Services'!G57)</f>
        <v/>
      </c>
      <c r="I43" t="str">
        <f>IF('H.W&amp;S.W&amp;Services'!D57=0,"",'H.W&amp;S.W&amp;Services'!D57)</f>
        <v/>
      </c>
      <c r="J43" s="2" t="str">
        <f>IF('H.W&amp;S.W&amp;Services'!E57=0,"",'H.W&amp;S.W&amp;Services'!E57)</f>
        <v/>
      </c>
    </row>
    <row r="44" spans="1:10" x14ac:dyDescent="0.2">
      <c r="A44" s="2" t="str">
        <f t="shared" ca="1" si="0"/>
        <v/>
      </c>
      <c r="B44" s="2" t="str">
        <f>IF('H.W&amp;S.W&amp;Services'!C58=0,"",'H.W&amp;S.W&amp;Services'!C58)</f>
        <v/>
      </c>
      <c r="C44" s="2" t="str">
        <f>IF('H.W&amp;S.W&amp;Services'!C58=0,"",'H.W&amp;S.W&amp;Services'!C58)</f>
        <v/>
      </c>
      <c r="D44" s="2" t="str">
        <f>IF('H.W&amp;S.W&amp;Services'!H58=0,"",'H.W&amp;S.W&amp;Services'!H58)</f>
        <v/>
      </c>
      <c r="E44" s="2" t="str">
        <f>IF('H.W&amp;S.W&amp;Services'!I58=0,"",'H.W&amp;S.W&amp;Services'!I58)</f>
        <v/>
      </c>
      <c r="F44" s="3" t="str">
        <f>IF('H.W&amp;S.W&amp;Services'!J58=0,"",'H.W&amp;S.W&amp;Services'!J58)</f>
        <v/>
      </c>
      <c r="G44" s="4" t="str">
        <f>IF('H.W&amp;S.W&amp;Services'!O58=0,"",'H.W&amp;S.W&amp;Services'!O58)</f>
        <v/>
      </c>
      <c r="H44" s="2" t="str">
        <f>IF('H.W&amp;S.W&amp;Services'!B58=0,"",'H.W&amp;S.W&amp;Services'!B58) &amp; IF('H.W&amp;S.W&amp;Services'!F58=0,""," / "&amp;'H.W&amp;S.W&amp;Services'!F58) &amp; IF('H.W&amp;S.W&amp;Services'!G58=0,""," / "&amp;'H.W&amp;S.W&amp;Services'!G58)</f>
        <v/>
      </c>
      <c r="I44" t="str">
        <f>IF('H.W&amp;S.W&amp;Services'!D58=0,"",'H.W&amp;S.W&amp;Services'!D58)</f>
        <v/>
      </c>
      <c r="J44" s="2" t="str">
        <f>IF('H.W&amp;S.W&amp;Services'!E58=0,"",'H.W&amp;S.W&amp;Services'!E58)</f>
        <v/>
      </c>
    </row>
    <row r="45" spans="1:10" x14ac:dyDescent="0.2">
      <c r="A45" s="2" t="str">
        <f t="shared" ca="1" si="0"/>
        <v/>
      </c>
      <c r="B45" s="2" t="str">
        <f>IF('H.W&amp;S.W&amp;Services'!C59=0,"",'H.W&amp;S.W&amp;Services'!C59)</f>
        <v/>
      </c>
      <c r="C45" s="2" t="str">
        <f>IF('H.W&amp;S.W&amp;Services'!C59=0,"",'H.W&amp;S.W&amp;Services'!C59)</f>
        <v/>
      </c>
      <c r="D45" s="2" t="str">
        <f>IF('H.W&amp;S.W&amp;Services'!H59=0,"",'H.W&amp;S.W&amp;Services'!H59)</f>
        <v/>
      </c>
      <c r="E45" s="2" t="str">
        <f>IF('H.W&amp;S.W&amp;Services'!I59=0,"",'H.W&amp;S.W&amp;Services'!I59)</f>
        <v/>
      </c>
      <c r="F45" s="3" t="str">
        <f>IF('H.W&amp;S.W&amp;Services'!J59=0,"",'H.W&amp;S.W&amp;Services'!J59)</f>
        <v/>
      </c>
      <c r="G45" s="4" t="str">
        <f>IF('H.W&amp;S.W&amp;Services'!O59=0,"",'H.W&amp;S.W&amp;Services'!O59)</f>
        <v/>
      </c>
      <c r="H45" s="2" t="str">
        <f>IF('H.W&amp;S.W&amp;Services'!B59=0,"",'H.W&amp;S.W&amp;Services'!B59) &amp; IF('H.W&amp;S.W&amp;Services'!F59=0,""," / "&amp;'H.W&amp;S.W&amp;Services'!F59) &amp; IF('H.W&amp;S.W&amp;Services'!G59=0,""," / "&amp;'H.W&amp;S.W&amp;Services'!G59)</f>
        <v/>
      </c>
      <c r="I45" t="str">
        <f>IF('H.W&amp;S.W&amp;Services'!D59=0,"",'H.W&amp;S.W&amp;Services'!D59)</f>
        <v/>
      </c>
      <c r="J45" s="2" t="str">
        <f>IF('H.W&amp;S.W&amp;Services'!E59=0,"",'H.W&amp;S.W&amp;Services'!E59)</f>
        <v/>
      </c>
    </row>
    <row r="46" spans="1:10" x14ac:dyDescent="0.2">
      <c r="A46" s="2" t="str">
        <f t="shared" ca="1" si="0"/>
        <v/>
      </c>
      <c r="B46" s="2" t="str">
        <f>IF('H.W&amp;S.W&amp;Services'!C60=0,"",'H.W&amp;S.W&amp;Services'!C60)</f>
        <v/>
      </c>
      <c r="C46" s="2" t="str">
        <f>IF('H.W&amp;S.W&amp;Services'!C60=0,"",'H.W&amp;S.W&amp;Services'!C60)</f>
        <v/>
      </c>
      <c r="D46" s="2" t="str">
        <f>IF('H.W&amp;S.W&amp;Services'!H60=0,"",'H.W&amp;S.W&amp;Services'!H60)</f>
        <v/>
      </c>
      <c r="E46" s="2" t="str">
        <f>IF('H.W&amp;S.W&amp;Services'!I60=0,"",'H.W&amp;S.W&amp;Services'!I60)</f>
        <v/>
      </c>
      <c r="F46" s="3" t="str">
        <f>IF('H.W&amp;S.W&amp;Services'!J60=0,"",'H.W&amp;S.W&amp;Services'!J60)</f>
        <v/>
      </c>
      <c r="G46" s="4" t="str">
        <f>IF('H.W&amp;S.W&amp;Services'!O60=0,"",'H.W&amp;S.W&amp;Services'!O60)</f>
        <v/>
      </c>
      <c r="H46" s="2" t="str">
        <f>IF('H.W&amp;S.W&amp;Services'!B60=0,"",'H.W&amp;S.W&amp;Services'!B60) &amp; IF('H.W&amp;S.W&amp;Services'!F60=0,""," / "&amp;'H.W&amp;S.W&amp;Services'!F60) &amp; IF('H.W&amp;S.W&amp;Services'!G60=0,""," / "&amp;'H.W&amp;S.W&amp;Services'!G60)</f>
        <v/>
      </c>
      <c r="I46" t="str">
        <f>IF('H.W&amp;S.W&amp;Services'!D60=0,"",'H.W&amp;S.W&amp;Services'!D60)</f>
        <v/>
      </c>
      <c r="J46" s="2" t="str">
        <f>IF('H.W&amp;S.W&amp;Services'!E60=0,"",'H.W&amp;S.W&amp;Services'!E60)</f>
        <v/>
      </c>
    </row>
    <row r="47" spans="1:10" x14ac:dyDescent="0.2">
      <c r="A47" s="2" t="str">
        <f t="shared" ca="1" si="0"/>
        <v/>
      </c>
      <c r="B47" s="2" t="str">
        <f>IF('H.W&amp;S.W&amp;Services'!C61=0,"",'H.W&amp;S.W&amp;Services'!C61)</f>
        <v/>
      </c>
      <c r="C47" s="2" t="str">
        <f>IF('H.W&amp;S.W&amp;Services'!C61=0,"",'H.W&amp;S.W&amp;Services'!C61)</f>
        <v/>
      </c>
      <c r="D47" s="2" t="str">
        <f>IF('H.W&amp;S.W&amp;Services'!H61=0,"",'H.W&amp;S.W&amp;Services'!H61)</f>
        <v/>
      </c>
      <c r="E47" s="2" t="str">
        <f>IF('H.W&amp;S.W&amp;Services'!I61=0,"",'H.W&amp;S.W&amp;Services'!I61)</f>
        <v/>
      </c>
      <c r="F47" s="3" t="str">
        <f>IF('H.W&amp;S.W&amp;Services'!J61=0,"",'H.W&amp;S.W&amp;Services'!J61)</f>
        <v/>
      </c>
      <c r="G47" s="4" t="str">
        <f>IF('H.W&amp;S.W&amp;Services'!O61=0,"",'H.W&amp;S.W&amp;Services'!O61)</f>
        <v/>
      </c>
      <c r="H47" s="2" t="str">
        <f>IF('H.W&amp;S.W&amp;Services'!B61=0,"",'H.W&amp;S.W&amp;Services'!B61) &amp; IF('H.W&amp;S.W&amp;Services'!F61=0,""," / "&amp;'H.W&amp;S.W&amp;Services'!F61) &amp; IF('H.W&amp;S.W&amp;Services'!G61=0,""," / "&amp;'H.W&amp;S.W&amp;Services'!G61)</f>
        <v/>
      </c>
      <c r="I47" t="str">
        <f>IF('H.W&amp;S.W&amp;Services'!D61=0,"",'H.W&amp;S.W&amp;Services'!D61)</f>
        <v/>
      </c>
      <c r="J47" s="2" t="str">
        <f>IF('H.W&amp;S.W&amp;Services'!E61=0,"",'H.W&amp;S.W&amp;Services'!E61)</f>
        <v/>
      </c>
    </row>
    <row r="48" spans="1:10" x14ac:dyDescent="0.2">
      <c r="A48" s="2" t="str">
        <f t="shared" ca="1" si="0"/>
        <v/>
      </c>
      <c r="B48" s="2" t="str">
        <f>IF('H.W&amp;S.W&amp;Services'!C62=0,"",'H.W&amp;S.W&amp;Services'!C62)</f>
        <v/>
      </c>
      <c r="C48" s="2" t="str">
        <f>IF('H.W&amp;S.W&amp;Services'!C62=0,"",'H.W&amp;S.W&amp;Services'!C62)</f>
        <v/>
      </c>
      <c r="D48" s="2" t="str">
        <f>IF('H.W&amp;S.W&amp;Services'!H62=0,"",'H.W&amp;S.W&amp;Services'!H62)</f>
        <v/>
      </c>
      <c r="E48" s="2" t="str">
        <f>IF('H.W&amp;S.W&amp;Services'!I62=0,"",'H.W&amp;S.W&amp;Services'!I62)</f>
        <v/>
      </c>
      <c r="F48" s="3" t="str">
        <f>IF('H.W&amp;S.W&amp;Services'!J62=0,"",'H.W&amp;S.W&amp;Services'!J62)</f>
        <v/>
      </c>
      <c r="G48" s="4" t="str">
        <f>IF('H.W&amp;S.W&amp;Services'!O62=0,"",'H.W&amp;S.W&amp;Services'!O62)</f>
        <v/>
      </c>
      <c r="H48" s="2" t="str">
        <f>IF('H.W&amp;S.W&amp;Services'!B62=0,"",'H.W&amp;S.W&amp;Services'!B62) &amp; IF('H.W&amp;S.W&amp;Services'!F62=0,""," / "&amp;'H.W&amp;S.W&amp;Services'!F62) &amp; IF('H.W&amp;S.W&amp;Services'!G62=0,""," / "&amp;'H.W&amp;S.W&amp;Services'!G62)</f>
        <v/>
      </c>
      <c r="I48" t="str">
        <f>IF('H.W&amp;S.W&amp;Services'!D62=0,"",'H.W&amp;S.W&amp;Services'!D62)</f>
        <v/>
      </c>
      <c r="J48" s="2" t="str">
        <f>IF('H.W&amp;S.W&amp;Services'!E62=0,"",'H.W&amp;S.W&amp;Services'!E62)</f>
        <v/>
      </c>
    </row>
    <row r="49" spans="1:10" x14ac:dyDescent="0.2">
      <c r="A49" s="2" t="str">
        <f t="shared" ca="1" si="0"/>
        <v/>
      </c>
      <c r="B49" s="2" t="str">
        <f>IF('H.W&amp;S.W&amp;Services'!C63=0,"",'H.W&amp;S.W&amp;Services'!C63)</f>
        <v/>
      </c>
      <c r="C49" s="2" t="str">
        <f>IF('H.W&amp;S.W&amp;Services'!C63=0,"",'H.W&amp;S.W&amp;Services'!C63)</f>
        <v/>
      </c>
      <c r="D49" s="2" t="str">
        <f>IF('H.W&amp;S.W&amp;Services'!H63=0,"",'H.W&amp;S.W&amp;Services'!H63)</f>
        <v/>
      </c>
      <c r="E49" s="2" t="str">
        <f>IF('H.W&amp;S.W&amp;Services'!I63=0,"",'H.W&amp;S.W&amp;Services'!I63)</f>
        <v/>
      </c>
      <c r="F49" s="3" t="str">
        <f>IF('H.W&amp;S.W&amp;Services'!J63=0,"",'H.W&amp;S.W&amp;Services'!J63)</f>
        <v/>
      </c>
      <c r="G49" s="4" t="str">
        <f>IF('H.W&amp;S.W&amp;Services'!O63=0,"",'H.W&amp;S.W&amp;Services'!O63)</f>
        <v/>
      </c>
      <c r="H49" s="2" t="str">
        <f>IF('H.W&amp;S.W&amp;Services'!B63=0,"",'H.W&amp;S.W&amp;Services'!B63) &amp; IF('H.W&amp;S.W&amp;Services'!F63=0,""," / "&amp;'H.W&amp;S.W&amp;Services'!F63) &amp; IF('H.W&amp;S.W&amp;Services'!G63=0,""," / "&amp;'H.W&amp;S.W&amp;Services'!G63)</f>
        <v/>
      </c>
      <c r="I49" t="str">
        <f>IF('H.W&amp;S.W&amp;Services'!D63=0,"",'H.W&amp;S.W&amp;Services'!D63)</f>
        <v/>
      </c>
      <c r="J49" s="2" t="str">
        <f>IF('H.W&amp;S.W&amp;Services'!E63=0,"",'H.W&amp;S.W&amp;Services'!E63)</f>
        <v/>
      </c>
    </row>
    <row r="50" spans="1:10" x14ac:dyDescent="0.2">
      <c r="A50" s="2" t="str">
        <f t="shared" ca="1" si="0"/>
        <v/>
      </c>
      <c r="B50" s="2" t="str">
        <f>IF('H.W&amp;S.W&amp;Services'!C64=0,"",'H.W&amp;S.W&amp;Services'!C64)</f>
        <v/>
      </c>
      <c r="C50" s="2" t="str">
        <f>IF('H.W&amp;S.W&amp;Services'!C64=0,"",'H.W&amp;S.W&amp;Services'!C64)</f>
        <v/>
      </c>
      <c r="D50" s="2" t="str">
        <f>IF('H.W&amp;S.W&amp;Services'!H64=0,"",'H.W&amp;S.W&amp;Services'!H64)</f>
        <v/>
      </c>
      <c r="E50" s="2" t="str">
        <f>IF('H.W&amp;S.W&amp;Services'!I64=0,"",'H.W&amp;S.W&amp;Services'!I64)</f>
        <v/>
      </c>
      <c r="F50" s="3" t="str">
        <f>IF('H.W&amp;S.W&amp;Services'!J64=0,"",'H.W&amp;S.W&amp;Services'!J64)</f>
        <v/>
      </c>
      <c r="G50" s="4" t="str">
        <f>IF('H.W&amp;S.W&amp;Services'!O64=0,"",'H.W&amp;S.W&amp;Services'!O64)</f>
        <v/>
      </c>
      <c r="H50" s="2" t="str">
        <f>IF('H.W&amp;S.W&amp;Services'!B64=0,"",'H.W&amp;S.W&amp;Services'!B64) &amp; IF('H.W&amp;S.W&amp;Services'!F64=0,""," / "&amp;'H.W&amp;S.W&amp;Services'!F64) &amp; IF('H.W&amp;S.W&amp;Services'!G64=0,""," / "&amp;'H.W&amp;S.W&amp;Services'!G64)</f>
        <v/>
      </c>
      <c r="I50" t="str">
        <f>IF('H.W&amp;S.W&amp;Services'!D64=0,"",'H.W&amp;S.W&amp;Services'!D64)</f>
        <v/>
      </c>
      <c r="J50" s="2" t="str">
        <f>IF('H.W&amp;S.W&amp;Services'!E64=0,"",'H.W&amp;S.W&amp;Services'!E64)</f>
        <v/>
      </c>
    </row>
    <row r="51" spans="1:10" x14ac:dyDescent="0.2">
      <c r="A51" s="2" t="str">
        <f t="shared" ca="1" si="0"/>
        <v/>
      </c>
      <c r="B51" s="2" t="str">
        <f>IF('H.W&amp;S.W&amp;Services'!C65=0,"",'H.W&amp;S.W&amp;Services'!C65)</f>
        <v/>
      </c>
      <c r="C51" s="2" t="str">
        <f>IF('H.W&amp;S.W&amp;Services'!C65=0,"",'H.W&amp;S.W&amp;Services'!C65)</f>
        <v/>
      </c>
      <c r="D51" s="2" t="str">
        <f>IF('H.W&amp;S.W&amp;Services'!H65=0,"",'H.W&amp;S.W&amp;Services'!H65)</f>
        <v/>
      </c>
      <c r="E51" s="2" t="str">
        <f>IF('H.W&amp;S.W&amp;Services'!I65=0,"",'H.W&amp;S.W&amp;Services'!I65)</f>
        <v/>
      </c>
      <c r="F51" s="3" t="str">
        <f>IF('H.W&amp;S.W&amp;Services'!J65=0,"",'H.W&amp;S.W&amp;Services'!J65)</f>
        <v/>
      </c>
      <c r="G51" s="4" t="str">
        <f>IF('H.W&amp;S.W&amp;Services'!O65=0,"",'H.W&amp;S.W&amp;Services'!O65)</f>
        <v/>
      </c>
      <c r="H51" s="2" t="str">
        <f>IF('H.W&amp;S.W&amp;Services'!B65=0,"",'H.W&amp;S.W&amp;Services'!B65) &amp; IF('H.W&amp;S.W&amp;Services'!F65=0,""," / "&amp;'H.W&amp;S.W&amp;Services'!F65) &amp; IF('H.W&amp;S.W&amp;Services'!G65=0,""," / "&amp;'H.W&amp;S.W&amp;Services'!G65)</f>
        <v/>
      </c>
      <c r="I51" t="str">
        <f>IF('H.W&amp;S.W&amp;Services'!D65=0,"",'H.W&amp;S.W&amp;Services'!D65)</f>
        <v/>
      </c>
      <c r="J51" s="2" t="str">
        <f>IF('H.W&amp;S.W&amp;Services'!E65=0,"",'H.W&amp;S.W&amp;Services'!E65)</f>
        <v/>
      </c>
    </row>
    <row r="52" spans="1:10" x14ac:dyDescent="0.2">
      <c r="A52" s="2" t="str">
        <f t="shared" ca="1" si="0"/>
        <v/>
      </c>
      <c r="B52" s="2" t="str">
        <f>IF('H.W&amp;S.W&amp;Services'!C66=0,"",'H.W&amp;S.W&amp;Services'!C66)</f>
        <v/>
      </c>
      <c r="C52" s="2" t="str">
        <f>IF('H.W&amp;S.W&amp;Services'!C66=0,"",'H.W&amp;S.W&amp;Services'!C66)</f>
        <v/>
      </c>
      <c r="D52" s="2" t="str">
        <f>IF('H.W&amp;S.W&amp;Services'!H66=0,"",'H.W&amp;S.W&amp;Services'!H66)</f>
        <v/>
      </c>
      <c r="E52" s="2" t="str">
        <f>IF('H.W&amp;S.W&amp;Services'!I66=0,"",'H.W&amp;S.W&amp;Services'!I66)</f>
        <v/>
      </c>
      <c r="F52" s="3" t="str">
        <f>IF('H.W&amp;S.W&amp;Services'!J66=0,"",'H.W&amp;S.W&amp;Services'!J66)</f>
        <v/>
      </c>
      <c r="G52" s="4" t="str">
        <f>IF('H.W&amp;S.W&amp;Services'!O66=0,"",'H.W&amp;S.W&amp;Services'!O66)</f>
        <v/>
      </c>
      <c r="H52" s="2" t="str">
        <f>IF('H.W&amp;S.W&amp;Services'!B66=0,"",'H.W&amp;S.W&amp;Services'!B66) &amp; IF('H.W&amp;S.W&amp;Services'!F66=0,""," / "&amp;'H.W&amp;S.W&amp;Services'!F66) &amp; IF('H.W&amp;S.W&amp;Services'!G66=0,""," / "&amp;'H.W&amp;S.W&amp;Services'!G66)</f>
        <v/>
      </c>
      <c r="I52" t="str">
        <f>IF('H.W&amp;S.W&amp;Services'!D66=0,"",'H.W&amp;S.W&amp;Services'!D66)</f>
        <v/>
      </c>
      <c r="J52" s="2" t="str">
        <f>IF('H.W&amp;S.W&amp;Services'!E66=0,"",'H.W&amp;S.W&amp;Services'!E66)</f>
        <v/>
      </c>
    </row>
    <row r="53" spans="1:10" x14ac:dyDescent="0.2">
      <c r="A53" s="2" t="str">
        <f t="shared" ca="1" si="0"/>
        <v/>
      </c>
      <c r="B53" s="2" t="str">
        <f>IF('H.W&amp;S.W&amp;Services'!C67=0,"",'H.W&amp;S.W&amp;Services'!C67)</f>
        <v/>
      </c>
      <c r="C53" s="2" t="str">
        <f>IF('H.W&amp;S.W&amp;Services'!C67=0,"",'H.W&amp;S.W&amp;Services'!C67)</f>
        <v/>
      </c>
      <c r="D53" s="2" t="str">
        <f>IF('H.W&amp;S.W&amp;Services'!H67=0,"",'H.W&amp;S.W&amp;Services'!H67)</f>
        <v/>
      </c>
      <c r="E53" s="2" t="str">
        <f>IF('H.W&amp;S.W&amp;Services'!I67=0,"",'H.W&amp;S.W&amp;Services'!I67)</f>
        <v/>
      </c>
      <c r="F53" s="3" t="str">
        <f>IF('H.W&amp;S.W&amp;Services'!J67=0,"",'H.W&amp;S.W&amp;Services'!J67)</f>
        <v/>
      </c>
      <c r="G53" s="4" t="str">
        <f>IF('H.W&amp;S.W&amp;Services'!O67=0,"",'H.W&amp;S.W&amp;Services'!O67)</f>
        <v/>
      </c>
      <c r="H53" s="2" t="str">
        <f>IF('H.W&amp;S.W&amp;Services'!B67=0,"",'H.W&amp;S.W&amp;Services'!B67) &amp; IF('H.W&amp;S.W&amp;Services'!F67=0,""," / "&amp;'H.W&amp;S.W&amp;Services'!F67) &amp; IF('H.W&amp;S.W&amp;Services'!G67=0,""," / "&amp;'H.W&amp;S.W&amp;Services'!G67)</f>
        <v/>
      </c>
      <c r="I53" t="str">
        <f>IF('H.W&amp;S.W&amp;Services'!D67=0,"",'H.W&amp;S.W&amp;Services'!D67)</f>
        <v/>
      </c>
      <c r="J53" s="2" t="str">
        <f>IF('H.W&amp;S.W&amp;Services'!E67=0,"",'H.W&amp;S.W&amp;Services'!E67)</f>
        <v/>
      </c>
    </row>
    <row r="54" spans="1:10" x14ac:dyDescent="0.2">
      <c r="A54" s="2" t="str">
        <f t="shared" ca="1" si="0"/>
        <v/>
      </c>
      <c r="B54" s="2" t="str">
        <f>IF('H.W&amp;S.W&amp;Services'!C68=0,"",'H.W&amp;S.W&amp;Services'!C68)</f>
        <v/>
      </c>
      <c r="C54" s="2" t="str">
        <f>IF('H.W&amp;S.W&amp;Services'!C68=0,"",'H.W&amp;S.W&amp;Services'!C68)</f>
        <v/>
      </c>
      <c r="D54" s="2" t="str">
        <f>IF('H.W&amp;S.W&amp;Services'!H68=0,"",'H.W&amp;S.W&amp;Services'!H68)</f>
        <v/>
      </c>
      <c r="E54" s="2" t="str">
        <f>IF('H.W&amp;S.W&amp;Services'!I68=0,"",'H.W&amp;S.W&amp;Services'!I68)</f>
        <v/>
      </c>
      <c r="F54" s="3" t="str">
        <f>IF('H.W&amp;S.W&amp;Services'!J68=0,"",'H.W&amp;S.W&amp;Services'!J68)</f>
        <v/>
      </c>
      <c r="G54" s="4" t="str">
        <f>IF('H.W&amp;S.W&amp;Services'!O68=0,"",'H.W&amp;S.W&amp;Services'!O68)</f>
        <v/>
      </c>
      <c r="H54" s="2" t="str">
        <f>IF('H.W&amp;S.W&amp;Services'!B68=0,"",'H.W&amp;S.W&amp;Services'!B68) &amp; IF('H.W&amp;S.W&amp;Services'!F68=0,""," / "&amp;'H.W&amp;S.W&amp;Services'!F68) &amp; IF('H.W&amp;S.W&amp;Services'!G68=0,""," / "&amp;'H.W&amp;S.W&amp;Services'!G68)</f>
        <v/>
      </c>
      <c r="I54" t="str">
        <f>IF('H.W&amp;S.W&amp;Services'!D68=0,"",'H.W&amp;S.W&amp;Services'!D68)</f>
        <v/>
      </c>
      <c r="J54" s="2" t="str">
        <f>IF('H.W&amp;S.W&amp;Services'!E68=0,"",'H.W&amp;S.W&amp;Services'!E68)</f>
        <v/>
      </c>
    </row>
    <row r="55" spans="1:10" x14ac:dyDescent="0.2">
      <c r="A55" s="2" t="str">
        <f t="shared" ca="1" si="0"/>
        <v/>
      </c>
      <c r="B55" s="2" t="str">
        <f>IF('H.W&amp;S.W&amp;Services'!C69=0,"",'H.W&amp;S.W&amp;Services'!C69)</f>
        <v/>
      </c>
      <c r="C55" s="2" t="str">
        <f>IF('H.W&amp;S.W&amp;Services'!C69=0,"",'H.W&amp;S.W&amp;Services'!C69)</f>
        <v/>
      </c>
      <c r="D55" s="2" t="str">
        <f>IF('H.W&amp;S.W&amp;Services'!H69=0,"",'H.W&amp;S.W&amp;Services'!H69)</f>
        <v/>
      </c>
      <c r="E55" s="2" t="str">
        <f>IF('H.W&amp;S.W&amp;Services'!I69=0,"",'H.W&amp;S.W&amp;Services'!I69)</f>
        <v/>
      </c>
      <c r="F55" s="3" t="str">
        <f>IF('H.W&amp;S.W&amp;Services'!J69=0,"",'H.W&amp;S.W&amp;Services'!J69)</f>
        <v/>
      </c>
      <c r="G55" s="4" t="str">
        <f>IF('H.W&amp;S.W&amp;Services'!O69=0,"",'H.W&amp;S.W&amp;Services'!O69)</f>
        <v/>
      </c>
      <c r="H55" s="2" t="str">
        <f>IF('H.W&amp;S.W&amp;Services'!B69=0,"",'H.W&amp;S.W&amp;Services'!B69) &amp; IF('H.W&amp;S.W&amp;Services'!F69=0,""," / "&amp;'H.W&amp;S.W&amp;Services'!F69) &amp; IF('H.W&amp;S.W&amp;Services'!G69=0,""," / "&amp;'H.W&amp;S.W&amp;Services'!G69)</f>
        <v/>
      </c>
      <c r="I55" t="str">
        <f>IF('H.W&amp;S.W&amp;Services'!D69=0,"",'H.W&amp;S.W&amp;Services'!D69)</f>
        <v/>
      </c>
      <c r="J55" s="2" t="str">
        <f>IF('H.W&amp;S.W&amp;Services'!E69=0,"",'H.W&amp;S.W&amp;Services'!E69)</f>
        <v/>
      </c>
    </row>
    <row r="56" spans="1:10" x14ac:dyDescent="0.2">
      <c r="A56" s="2" t="str">
        <f t="shared" ca="1" si="0"/>
        <v/>
      </c>
      <c r="B56" s="2" t="str">
        <f>IF('H.W&amp;S.W&amp;Services'!C70=0,"",'H.W&amp;S.W&amp;Services'!C70)</f>
        <v/>
      </c>
      <c r="C56" s="2" t="str">
        <f>IF('H.W&amp;S.W&amp;Services'!C70=0,"",'H.W&amp;S.W&amp;Services'!C70)</f>
        <v/>
      </c>
      <c r="D56" s="2" t="str">
        <f>IF('H.W&amp;S.W&amp;Services'!H70=0,"",'H.W&amp;S.W&amp;Services'!H70)</f>
        <v/>
      </c>
      <c r="E56" s="2" t="str">
        <f>IF('H.W&amp;S.W&amp;Services'!I70=0,"",'H.W&amp;S.W&amp;Services'!I70)</f>
        <v/>
      </c>
      <c r="F56" s="3" t="str">
        <f>IF('H.W&amp;S.W&amp;Services'!J70=0,"",'H.W&amp;S.W&amp;Services'!J70)</f>
        <v/>
      </c>
      <c r="G56" s="4" t="str">
        <f>IF('H.W&amp;S.W&amp;Services'!O70=0,"",'H.W&amp;S.W&amp;Services'!O70)</f>
        <v/>
      </c>
      <c r="H56" s="2" t="str">
        <f>IF('H.W&amp;S.W&amp;Services'!B70=0,"",'H.W&amp;S.W&amp;Services'!B70) &amp; IF('H.W&amp;S.W&amp;Services'!F70=0,""," / "&amp;'H.W&amp;S.W&amp;Services'!F70) &amp; IF('H.W&amp;S.W&amp;Services'!G70=0,""," / "&amp;'H.W&amp;S.W&amp;Services'!G70)</f>
        <v/>
      </c>
      <c r="I56" t="str">
        <f>IF('H.W&amp;S.W&amp;Services'!D70=0,"",'H.W&amp;S.W&amp;Services'!D70)</f>
        <v/>
      </c>
      <c r="J56" s="2" t="str">
        <f>IF('H.W&amp;S.W&amp;Services'!E70=0,"",'H.W&amp;S.W&amp;Services'!E70)</f>
        <v/>
      </c>
    </row>
    <row r="57" spans="1:10" x14ac:dyDescent="0.2">
      <c r="A57" s="2" t="str">
        <f t="shared" ca="1" si="0"/>
        <v/>
      </c>
      <c r="B57" s="2" t="str">
        <f>IF('H.W&amp;S.W&amp;Services'!C71=0,"",'H.W&amp;S.W&amp;Services'!C71)</f>
        <v/>
      </c>
      <c r="C57" s="2" t="str">
        <f>IF('H.W&amp;S.W&amp;Services'!C71=0,"",'H.W&amp;S.W&amp;Services'!C71)</f>
        <v/>
      </c>
      <c r="D57" s="2" t="str">
        <f>IF('H.W&amp;S.W&amp;Services'!H71=0,"",'H.W&amp;S.W&amp;Services'!H71)</f>
        <v/>
      </c>
      <c r="E57" s="2" t="str">
        <f>IF('H.W&amp;S.W&amp;Services'!I71=0,"",'H.W&amp;S.W&amp;Services'!I71)</f>
        <v/>
      </c>
      <c r="F57" s="3" t="str">
        <f>IF('H.W&amp;S.W&amp;Services'!J71=0,"",'H.W&amp;S.W&amp;Services'!J71)</f>
        <v/>
      </c>
      <c r="G57" s="4" t="str">
        <f>IF('H.W&amp;S.W&amp;Services'!O71=0,"",'H.W&amp;S.W&amp;Services'!O71)</f>
        <v/>
      </c>
      <c r="H57" s="2" t="str">
        <f>IF('H.W&amp;S.W&amp;Services'!B71=0,"",'H.W&amp;S.W&amp;Services'!B71) &amp; IF('H.W&amp;S.W&amp;Services'!F71=0,""," / "&amp;'H.W&amp;S.W&amp;Services'!F71) &amp; IF('H.W&amp;S.W&amp;Services'!G71=0,""," / "&amp;'H.W&amp;S.W&amp;Services'!G71)</f>
        <v/>
      </c>
      <c r="I57" t="str">
        <f>IF('H.W&amp;S.W&amp;Services'!D71=0,"",'H.W&amp;S.W&amp;Services'!D71)</f>
        <v/>
      </c>
      <c r="J57" s="2" t="str">
        <f>IF('H.W&amp;S.W&amp;Services'!E71=0,"",'H.W&amp;S.W&amp;Services'!E71)</f>
        <v/>
      </c>
    </row>
    <row r="58" spans="1:10" x14ac:dyDescent="0.2">
      <c r="A58" s="2" t="str">
        <f t="shared" ca="1" si="0"/>
        <v/>
      </c>
      <c r="B58" s="2" t="str">
        <f>IF('H.W&amp;S.W&amp;Services'!C72=0,"",'H.W&amp;S.W&amp;Services'!C72)</f>
        <v/>
      </c>
      <c r="C58" s="2" t="str">
        <f>IF('H.W&amp;S.W&amp;Services'!C72=0,"",'H.W&amp;S.W&amp;Services'!C72)</f>
        <v/>
      </c>
      <c r="D58" s="2" t="str">
        <f>IF('H.W&amp;S.W&amp;Services'!H72=0,"",'H.W&amp;S.W&amp;Services'!H72)</f>
        <v/>
      </c>
      <c r="E58" s="2" t="str">
        <f>IF('H.W&amp;S.W&amp;Services'!I72=0,"",'H.W&amp;S.W&amp;Services'!I72)</f>
        <v/>
      </c>
      <c r="F58" s="3" t="str">
        <f>IF('H.W&amp;S.W&amp;Services'!J72=0,"",'H.W&amp;S.W&amp;Services'!J72)</f>
        <v/>
      </c>
      <c r="G58" s="4" t="str">
        <f>IF('H.W&amp;S.W&amp;Services'!O72=0,"",'H.W&amp;S.W&amp;Services'!O72)</f>
        <v/>
      </c>
      <c r="H58" s="2" t="str">
        <f>IF('H.W&amp;S.W&amp;Services'!B72=0,"",'H.W&amp;S.W&amp;Services'!B72) &amp; IF('H.W&amp;S.W&amp;Services'!F72=0,""," / "&amp;'H.W&amp;S.W&amp;Services'!F72) &amp; IF('H.W&amp;S.W&amp;Services'!G72=0,""," / "&amp;'H.W&amp;S.W&amp;Services'!G72)</f>
        <v/>
      </c>
      <c r="I58" t="str">
        <f>IF('H.W&amp;S.W&amp;Services'!D72=0,"",'H.W&amp;S.W&amp;Services'!D72)</f>
        <v/>
      </c>
      <c r="J58" s="2" t="str">
        <f>IF('H.W&amp;S.W&amp;Services'!E72=0,"",'H.W&amp;S.W&amp;Services'!E72)</f>
        <v/>
      </c>
    </row>
    <row r="59" spans="1:10" x14ac:dyDescent="0.2">
      <c r="A59" s="2" t="str">
        <f t="shared" ca="1" si="0"/>
        <v/>
      </c>
      <c r="B59" s="2" t="str">
        <f>IF('H.W&amp;S.W&amp;Services'!C73=0,"",'H.W&amp;S.W&amp;Services'!C73)</f>
        <v/>
      </c>
      <c r="C59" s="2" t="str">
        <f>IF('H.W&amp;S.W&amp;Services'!C73=0,"",'H.W&amp;S.W&amp;Services'!C73)</f>
        <v/>
      </c>
      <c r="D59" s="2" t="str">
        <f>IF('H.W&amp;S.W&amp;Services'!H73=0,"",'H.W&amp;S.W&amp;Services'!H73)</f>
        <v/>
      </c>
      <c r="E59" s="2" t="str">
        <f>IF('H.W&amp;S.W&amp;Services'!I73=0,"",'H.W&amp;S.W&amp;Services'!I73)</f>
        <v/>
      </c>
      <c r="F59" s="3" t="str">
        <f>IF('H.W&amp;S.W&amp;Services'!J73=0,"",'H.W&amp;S.W&amp;Services'!J73)</f>
        <v/>
      </c>
      <c r="G59" s="4" t="str">
        <f>IF('H.W&amp;S.W&amp;Services'!O73=0,"",'H.W&amp;S.W&amp;Services'!O73)</f>
        <v/>
      </c>
      <c r="H59" s="2" t="str">
        <f>IF('H.W&amp;S.W&amp;Services'!B73=0,"",'H.W&amp;S.W&amp;Services'!B73) &amp; IF('H.W&amp;S.W&amp;Services'!F73=0,""," / "&amp;'H.W&amp;S.W&amp;Services'!F73) &amp; IF('H.W&amp;S.W&amp;Services'!G73=0,""," / "&amp;'H.W&amp;S.W&amp;Services'!G73)</f>
        <v/>
      </c>
      <c r="I59" t="str">
        <f>IF('H.W&amp;S.W&amp;Services'!D73=0,"",'H.W&amp;S.W&amp;Services'!D73)</f>
        <v/>
      </c>
      <c r="J59" s="2" t="str">
        <f>IF('H.W&amp;S.W&amp;Services'!E73=0,"",'H.W&amp;S.W&amp;Services'!E73)</f>
        <v/>
      </c>
    </row>
    <row r="60" spans="1:10" x14ac:dyDescent="0.2">
      <c r="A60" s="2" t="str">
        <f t="shared" ca="1" si="0"/>
        <v/>
      </c>
      <c r="B60" s="2" t="str">
        <f>IF('H.W&amp;S.W&amp;Services'!C74=0,"",'H.W&amp;S.W&amp;Services'!C74)</f>
        <v/>
      </c>
      <c r="C60" s="2" t="str">
        <f>IF('H.W&amp;S.W&amp;Services'!C74=0,"",'H.W&amp;S.W&amp;Services'!C74)</f>
        <v/>
      </c>
      <c r="D60" s="2" t="str">
        <f>IF('H.W&amp;S.W&amp;Services'!H74=0,"",'H.W&amp;S.W&amp;Services'!H74)</f>
        <v/>
      </c>
      <c r="E60" s="2" t="str">
        <f>IF('H.W&amp;S.W&amp;Services'!I74=0,"",'H.W&amp;S.W&amp;Services'!I74)</f>
        <v/>
      </c>
      <c r="F60" s="3" t="str">
        <f>IF('H.W&amp;S.W&amp;Services'!J74=0,"",'H.W&amp;S.W&amp;Services'!J74)</f>
        <v/>
      </c>
      <c r="G60" s="4" t="str">
        <f>IF('H.W&amp;S.W&amp;Services'!O74=0,"",'H.W&amp;S.W&amp;Services'!O74)</f>
        <v/>
      </c>
      <c r="H60" s="2" t="str">
        <f>IF('H.W&amp;S.W&amp;Services'!B74=0,"",'H.W&amp;S.W&amp;Services'!B74) &amp; IF('H.W&amp;S.W&amp;Services'!F74=0,""," / "&amp;'H.W&amp;S.W&amp;Services'!F74) &amp; IF('H.W&amp;S.W&amp;Services'!G74=0,""," / "&amp;'H.W&amp;S.W&amp;Services'!G74)</f>
        <v/>
      </c>
      <c r="I60" t="str">
        <f>IF('H.W&amp;S.W&amp;Services'!D74=0,"",'H.W&amp;S.W&amp;Services'!D74)</f>
        <v/>
      </c>
      <c r="J60" s="2" t="str">
        <f>IF('H.W&amp;S.W&amp;Services'!E74=0,"",'H.W&amp;S.W&amp;Services'!E74)</f>
        <v/>
      </c>
    </row>
    <row r="61" spans="1:10" x14ac:dyDescent="0.2">
      <c r="A61" s="2" t="str">
        <f t="shared" ca="1" si="0"/>
        <v/>
      </c>
      <c r="B61" s="2" t="str">
        <f>IF('H.W&amp;S.W&amp;Services'!C75=0,"",'H.W&amp;S.W&amp;Services'!C75)</f>
        <v/>
      </c>
      <c r="C61" s="2" t="str">
        <f>IF('H.W&amp;S.W&amp;Services'!C75=0,"",'H.W&amp;S.W&amp;Services'!C75)</f>
        <v/>
      </c>
      <c r="D61" s="2" t="str">
        <f>IF('H.W&amp;S.W&amp;Services'!H75=0,"",'H.W&amp;S.W&amp;Services'!H75)</f>
        <v/>
      </c>
      <c r="E61" s="2" t="str">
        <f>IF('H.W&amp;S.W&amp;Services'!I75=0,"",'H.W&amp;S.W&amp;Services'!I75)</f>
        <v/>
      </c>
      <c r="F61" s="3" t="str">
        <f>IF('H.W&amp;S.W&amp;Services'!J75=0,"",'H.W&amp;S.W&amp;Services'!J75)</f>
        <v/>
      </c>
      <c r="G61" s="4" t="str">
        <f>IF('H.W&amp;S.W&amp;Services'!O75=0,"",'H.W&amp;S.W&amp;Services'!O75)</f>
        <v/>
      </c>
      <c r="H61" s="2" t="str">
        <f>IF('H.W&amp;S.W&amp;Services'!B75=0,"",'H.W&amp;S.W&amp;Services'!B75) &amp; IF('H.W&amp;S.W&amp;Services'!F75=0,""," / "&amp;'H.W&amp;S.W&amp;Services'!F75) &amp; IF('H.W&amp;S.W&amp;Services'!G75=0,""," / "&amp;'H.W&amp;S.W&amp;Services'!G75)</f>
        <v/>
      </c>
      <c r="I61" t="str">
        <f>IF('H.W&amp;S.W&amp;Services'!D75=0,"",'H.W&amp;S.W&amp;Services'!D75)</f>
        <v/>
      </c>
      <c r="J61" s="2" t="str">
        <f>IF('H.W&amp;S.W&amp;Services'!E75=0,"",'H.W&amp;S.W&amp;Services'!E75)</f>
        <v/>
      </c>
    </row>
    <row r="62" spans="1:10" x14ac:dyDescent="0.2">
      <c r="A62" s="2" t="str">
        <f t="shared" ca="1" si="0"/>
        <v/>
      </c>
      <c r="B62" s="2" t="str">
        <f>IF('H.W&amp;S.W&amp;Services'!C76=0,"",'H.W&amp;S.W&amp;Services'!C76)</f>
        <v/>
      </c>
      <c r="C62" s="2" t="str">
        <f>IF('H.W&amp;S.W&amp;Services'!C76=0,"",'H.W&amp;S.W&amp;Services'!C76)</f>
        <v/>
      </c>
      <c r="D62" s="2" t="str">
        <f>IF('H.W&amp;S.W&amp;Services'!H76=0,"",'H.W&amp;S.W&amp;Services'!H76)</f>
        <v/>
      </c>
      <c r="E62" s="2" t="str">
        <f>IF('H.W&amp;S.W&amp;Services'!I76=0,"",'H.W&amp;S.W&amp;Services'!I76)</f>
        <v/>
      </c>
      <c r="F62" s="3" t="str">
        <f>IF('H.W&amp;S.W&amp;Services'!J76=0,"",'H.W&amp;S.W&amp;Services'!J76)</f>
        <v/>
      </c>
      <c r="G62" s="4" t="str">
        <f>IF('H.W&amp;S.W&amp;Services'!O76=0,"",'H.W&amp;S.W&amp;Services'!O76)</f>
        <v/>
      </c>
      <c r="H62" s="2" t="str">
        <f>IF('H.W&amp;S.W&amp;Services'!B76=0,"",'H.W&amp;S.W&amp;Services'!B76) &amp; IF('H.W&amp;S.W&amp;Services'!F76=0,""," / "&amp;'H.W&amp;S.W&amp;Services'!F76) &amp; IF('H.W&amp;S.W&amp;Services'!G76=0,""," / "&amp;'H.W&amp;S.W&amp;Services'!G76)</f>
        <v/>
      </c>
      <c r="I62" t="str">
        <f>IF('H.W&amp;S.W&amp;Services'!D76=0,"",'H.W&amp;S.W&amp;Services'!D76)</f>
        <v/>
      </c>
      <c r="J62" s="2" t="str">
        <f>IF('H.W&amp;S.W&amp;Services'!E76=0,"",'H.W&amp;S.W&amp;Services'!E76)</f>
        <v/>
      </c>
    </row>
    <row r="63" spans="1:10" x14ac:dyDescent="0.2">
      <c r="A63" s="2" t="str">
        <f t="shared" ca="1" si="0"/>
        <v/>
      </c>
      <c r="B63" s="2" t="str">
        <f>IF('H.W&amp;S.W&amp;Services'!C77=0,"",'H.W&amp;S.W&amp;Services'!C77)</f>
        <v/>
      </c>
      <c r="C63" s="2" t="str">
        <f>IF('H.W&amp;S.W&amp;Services'!C77=0,"",'H.W&amp;S.W&amp;Services'!C77)</f>
        <v/>
      </c>
      <c r="D63" s="2" t="str">
        <f>IF('H.W&amp;S.W&amp;Services'!H77=0,"",'H.W&amp;S.W&amp;Services'!H77)</f>
        <v/>
      </c>
      <c r="E63" s="2" t="str">
        <f>IF('H.W&amp;S.W&amp;Services'!I77=0,"",'H.W&amp;S.W&amp;Services'!I77)</f>
        <v/>
      </c>
      <c r="F63" s="3" t="str">
        <f>IF('H.W&amp;S.W&amp;Services'!J77=0,"",'H.W&amp;S.W&amp;Services'!J77)</f>
        <v/>
      </c>
      <c r="G63" s="4" t="str">
        <f>IF('H.W&amp;S.W&amp;Services'!O77=0,"",'H.W&amp;S.W&amp;Services'!O77)</f>
        <v/>
      </c>
      <c r="H63" s="2" t="str">
        <f>IF('H.W&amp;S.W&amp;Services'!B77=0,"",'H.W&amp;S.W&amp;Services'!B77) &amp; IF('H.W&amp;S.W&amp;Services'!F77=0,""," / "&amp;'H.W&amp;S.W&amp;Services'!F77) &amp; IF('H.W&amp;S.W&amp;Services'!G77=0,""," / "&amp;'H.W&amp;S.W&amp;Services'!G77)</f>
        <v/>
      </c>
      <c r="I63" t="str">
        <f>IF('H.W&amp;S.W&amp;Services'!D77=0,"",'H.W&amp;S.W&amp;Services'!D77)</f>
        <v/>
      </c>
      <c r="J63" s="2" t="str">
        <f>IF('H.W&amp;S.W&amp;Services'!E77=0,"",'H.W&amp;S.W&amp;Services'!E77)</f>
        <v/>
      </c>
    </row>
    <row r="64" spans="1:10" x14ac:dyDescent="0.2">
      <c r="A64" s="2" t="str">
        <f t="shared" ca="1" si="0"/>
        <v/>
      </c>
      <c r="B64" s="2" t="str">
        <f>IF('H.W&amp;S.W&amp;Services'!C78=0,"",'H.W&amp;S.W&amp;Services'!C78)</f>
        <v/>
      </c>
      <c r="C64" s="2" t="str">
        <f>IF('H.W&amp;S.W&amp;Services'!C78=0,"",'H.W&amp;S.W&amp;Services'!C78)</f>
        <v/>
      </c>
      <c r="D64" s="2" t="str">
        <f>IF('H.W&amp;S.W&amp;Services'!H78=0,"",'H.W&amp;S.W&amp;Services'!H78)</f>
        <v/>
      </c>
      <c r="E64" s="2" t="str">
        <f>IF('H.W&amp;S.W&amp;Services'!I78=0,"",'H.W&amp;S.W&amp;Services'!I78)</f>
        <v/>
      </c>
      <c r="F64" s="3" t="str">
        <f>IF('H.W&amp;S.W&amp;Services'!J78=0,"",'H.W&amp;S.W&amp;Services'!J78)</f>
        <v/>
      </c>
      <c r="G64" s="4" t="str">
        <f>IF('H.W&amp;S.W&amp;Services'!O78=0,"",'H.W&amp;S.W&amp;Services'!O78)</f>
        <v/>
      </c>
      <c r="H64" s="2" t="str">
        <f>IF('H.W&amp;S.W&amp;Services'!B78=0,"",'H.W&amp;S.W&amp;Services'!B78) &amp; IF('H.W&amp;S.W&amp;Services'!F78=0,""," / "&amp;'H.W&amp;S.W&amp;Services'!F78) &amp; IF('H.W&amp;S.W&amp;Services'!G78=0,""," / "&amp;'H.W&amp;S.W&amp;Services'!G78)</f>
        <v/>
      </c>
      <c r="I64" t="str">
        <f>IF('H.W&amp;S.W&amp;Services'!D78=0,"",'H.W&amp;S.W&amp;Services'!D78)</f>
        <v/>
      </c>
      <c r="J64" s="2" t="str">
        <f>IF('H.W&amp;S.W&amp;Services'!E78=0,"",'H.W&amp;S.W&amp;Services'!E78)</f>
        <v/>
      </c>
    </row>
    <row r="65" spans="1:10" x14ac:dyDescent="0.2">
      <c r="A65" s="2" t="str">
        <f t="shared" ca="1" si="0"/>
        <v/>
      </c>
      <c r="B65" s="2" t="str">
        <f>IF('H.W&amp;S.W&amp;Services'!C79=0,"",'H.W&amp;S.W&amp;Services'!C79)</f>
        <v/>
      </c>
      <c r="C65" s="2" t="str">
        <f>IF('H.W&amp;S.W&amp;Services'!C79=0,"",'H.W&amp;S.W&amp;Services'!C79)</f>
        <v/>
      </c>
      <c r="D65" s="2" t="str">
        <f>IF('H.W&amp;S.W&amp;Services'!H79=0,"",'H.W&amp;S.W&amp;Services'!H79)</f>
        <v/>
      </c>
      <c r="E65" s="2" t="str">
        <f>IF('H.W&amp;S.W&amp;Services'!I79=0,"",'H.W&amp;S.W&amp;Services'!I79)</f>
        <v/>
      </c>
      <c r="F65" s="3" t="str">
        <f>IF('H.W&amp;S.W&amp;Services'!J79=0,"",'H.W&amp;S.W&amp;Services'!J79)</f>
        <v/>
      </c>
      <c r="G65" s="4" t="str">
        <f>IF('H.W&amp;S.W&amp;Services'!O79=0,"",'H.W&amp;S.W&amp;Services'!O79)</f>
        <v/>
      </c>
      <c r="H65" s="2" t="str">
        <f>IF('H.W&amp;S.W&amp;Services'!B79=0,"",'H.W&amp;S.W&amp;Services'!B79) &amp; IF('H.W&amp;S.W&amp;Services'!F79=0,""," / "&amp;'H.W&amp;S.W&amp;Services'!F79) &amp; IF('H.W&amp;S.W&amp;Services'!G79=0,""," / "&amp;'H.W&amp;S.W&amp;Services'!G79)</f>
        <v/>
      </c>
      <c r="I65" t="str">
        <f>IF('H.W&amp;S.W&amp;Services'!D79=0,"",'H.W&amp;S.W&amp;Services'!D79)</f>
        <v/>
      </c>
      <c r="J65" s="2" t="str">
        <f>IF('H.W&amp;S.W&amp;Services'!E79=0,"",'H.W&amp;S.W&amp;Services'!E79)</f>
        <v/>
      </c>
    </row>
    <row r="66" spans="1:10" x14ac:dyDescent="0.2">
      <c r="A66" s="2" t="str">
        <f t="shared" ca="1" si="0"/>
        <v/>
      </c>
      <c r="B66" s="2" t="str">
        <f>IF('H.W&amp;S.W&amp;Services'!C80=0,"",'H.W&amp;S.W&amp;Services'!C80)</f>
        <v/>
      </c>
      <c r="C66" s="2" t="str">
        <f>IF('H.W&amp;S.W&amp;Services'!C80=0,"",'H.W&amp;S.W&amp;Services'!C80)</f>
        <v/>
      </c>
      <c r="D66" s="2" t="str">
        <f>IF('H.W&amp;S.W&amp;Services'!H80=0,"",'H.W&amp;S.W&amp;Services'!H80)</f>
        <v/>
      </c>
      <c r="E66" s="2" t="str">
        <f>IF('H.W&amp;S.W&amp;Services'!I80=0,"",'H.W&amp;S.W&amp;Services'!I80)</f>
        <v/>
      </c>
      <c r="F66" s="3" t="str">
        <f>IF('H.W&amp;S.W&amp;Services'!J80=0,"",'H.W&amp;S.W&amp;Services'!J80)</f>
        <v/>
      </c>
      <c r="G66" s="4" t="str">
        <f>IF('H.W&amp;S.W&amp;Services'!O80=0,"",'H.W&amp;S.W&amp;Services'!O80)</f>
        <v/>
      </c>
      <c r="H66" s="2" t="str">
        <f>IF('H.W&amp;S.W&amp;Services'!B80=0,"",'H.W&amp;S.W&amp;Services'!B80) &amp; IF('H.W&amp;S.W&amp;Services'!F80=0,""," / "&amp;'H.W&amp;S.W&amp;Services'!F80) &amp; IF('H.W&amp;S.W&amp;Services'!G80=0,""," / "&amp;'H.W&amp;S.W&amp;Services'!G80)</f>
        <v/>
      </c>
      <c r="I66" t="str">
        <f>IF('H.W&amp;S.W&amp;Services'!D80=0,"",'H.W&amp;S.W&amp;Services'!D80)</f>
        <v/>
      </c>
      <c r="J66" s="2" t="str">
        <f>IF('H.W&amp;S.W&amp;Services'!E80=0,"",'H.W&amp;S.W&amp;Services'!E80)</f>
        <v/>
      </c>
    </row>
    <row r="67" spans="1:10" x14ac:dyDescent="0.2">
      <c r="A67" s="2" t="str">
        <f t="shared" ca="1" si="0"/>
        <v/>
      </c>
      <c r="B67" s="2" t="str">
        <f>IF('H.W&amp;S.W&amp;Services'!C81=0,"",'H.W&amp;S.W&amp;Services'!C81)</f>
        <v/>
      </c>
      <c r="C67" s="2" t="str">
        <f>IF('H.W&amp;S.W&amp;Services'!C81=0,"",'H.W&amp;S.W&amp;Services'!C81)</f>
        <v/>
      </c>
      <c r="D67" s="2" t="str">
        <f>IF('H.W&amp;S.W&amp;Services'!H81=0,"",'H.W&amp;S.W&amp;Services'!H81)</f>
        <v/>
      </c>
      <c r="E67" s="2" t="str">
        <f>IF('H.W&amp;S.W&amp;Services'!I81=0,"",'H.W&amp;S.W&amp;Services'!I81)</f>
        <v/>
      </c>
      <c r="F67" s="3" t="str">
        <f>IF('H.W&amp;S.W&amp;Services'!J81=0,"",'H.W&amp;S.W&amp;Services'!J81)</f>
        <v/>
      </c>
      <c r="G67" s="4" t="str">
        <f>IF('H.W&amp;S.W&amp;Services'!O81=0,"",'H.W&amp;S.W&amp;Services'!O81)</f>
        <v/>
      </c>
      <c r="H67" s="2" t="str">
        <f>IF('H.W&amp;S.W&amp;Services'!B81=0,"",'H.W&amp;S.W&amp;Services'!B81) &amp; IF('H.W&amp;S.W&amp;Services'!F81=0,""," / "&amp;'H.W&amp;S.W&amp;Services'!F81) &amp; IF('H.W&amp;S.W&amp;Services'!G81=0,""," / "&amp;'H.W&amp;S.W&amp;Services'!G81)</f>
        <v/>
      </c>
      <c r="I67" t="str">
        <f>IF('H.W&amp;S.W&amp;Services'!D81=0,"",'H.W&amp;S.W&amp;Services'!D81)</f>
        <v/>
      </c>
      <c r="J67" s="2" t="str">
        <f>IF('H.W&amp;S.W&amp;Services'!E81=0,"",'H.W&amp;S.W&amp;Services'!E81)</f>
        <v/>
      </c>
    </row>
    <row r="68" spans="1:10" x14ac:dyDescent="0.2">
      <c r="A68" s="2" t="str">
        <f t="shared" ref="A68:A131" ca="1" si="1">IF(C68="","",RANDBETWEEN(1,10000000000)&amp;B68&amp;LEFT(D68,10))</f>
        <v/>
      </c>
      <c r="B68" s="2" t="str">
        <f>IF('H.W&amp;S.W&amp;Services'!C82=0,"",'H.W&amp;S.W&amp;Services'!C82)</f>
        <v/>
      </c>
      <c r="C68" s="2" t="str">
        <f>IF('H.W&amp;S.W&amp;Services'!C82=0,"",'H.W&amp;S.W&amp;Services'!C82)</f>
        <v/>
      </c>
      <c r="D68" s="2" t="str">
        <f>IF('H.W&amp;S.W&amp;Services'!H82=0,"",'H.W&amp;S.W&amp;Services'!H82)</f>
        <v/>
      </c>
      <c r="E68" s="2" t="str">
        <f>IF('H.W&amp;S.W&amp;Services'!I82=0,"",'H.W&amp;S.W&amp;Services'!I82)</f>
        <v/>
      </c>
      <c r="F68" s="3" t="str">
        <f>IF('H.W&amp;S.W&amp;Services'!J82=0,"",'H.W&amp;S.W&amp;Services'!J82)</f>
        <v/>
      </c>
      <c r="G68" s="4" t="str">
        <f>IF('H.W&amp;S.W&amp;Services'!O82=0,"",'H.W&amp;S.W&amp;Services'!O82)</f>
        <v/>
      </c>
      <c r="H68" s="2" t="str">
        <f>IF('H.W&amp;S.W&amp;Services'!B82=0,"",'H.W&amp;S.W&amp;Services'!B82) &amp; IF('H.W&amp;S.W&amp;Services'!F82=0,""," / "&amp;'H.W&amp;S.W&amp;Services'!F82) &amp; IF('H.W&amp;S.W&amp;Services'!G82=0,""," / "&amp;'H.W&amp;S.W&amp;Services'!G82)</f>
        <v/>
      </c>
      <c r="I68" t="str">
        <f>IF('H.W&amp;S.W&amp;Services'!D82=0,"",'H.W&amp;S.W&amp;Services'!D82)</f>
        <v/>
      </c>
      <c r="J68" s="2" t="str">
        <f>IF('H.W&amp;S.W&amp;Services'!E82=0,"",'H.W&amp;S.W&amp;Services'!E82)</f>
        <v/>
      </c>
    </row>
    <row r="69" spans="1:10" x14ac:dyDescent="0.2">
      <c r="A69" s="2" t="str">
        <f t="shared" ca="1" si="1"/>
        <v/>
      </c>
      <c r="B69" s="2" t="str">
        <f>IF('H.W&amp;S.W&amp;Services'!C83=0,"",'H.W&amp;S.W&amp;Services'!C83)</f>
        <v/>
      </c>
      <c r="C69" s="2" t="str">
        <f>IF('H.W&amp;S.W&amp;Services'!C83=0,"",'H.W&amp;S.W&amp;Services'!C83)</f>
        <v/>
      </c>
      <c r="D69" s="2" t="str">
        <f>IF('H.W&amp;S.W&amp;Services'!H83=0,"",'H.W&amp;S.W&amp;Services'!H83)</f>
        <v/>
      </c>
      <c r="E69" s="2" t="str">
        <f>IF('H.W&amp;S.W&amp;Services'!I83=0,"",'H.W&amp;S.W&amp;Services'!I83)</f>
        <v/>
      </c>
      <c r="F69" s="3" t="str">
        <f>IF('H.W&amp;S.W&amp;Services'!J83=0,"",'H.W&amp;S.W&amp;Services'!J83)</f>
        <v/>
      </c>
      <c r="G69" s="4" t="str">
        <f>IF('H.W&amp;S.W&amp;Services'!O83=0,"",'H.W&amp;S.W&amp;Services'!O83)</f>
        <v/>
      </c>
      <c r="H69" s="2" t="str">
        <f>IF('H.W&amp;S.W&amp;Services'!B83=0,"",'H.W&amp;S.W&amp;Services'!B83) &amp; IF('H.W&amp;S.W&amp;Services'!F83=0,""," / "&amp;'H.W&amp;S.W&amp;Services'!F83) &amp; IF('H.W&amp;S.W&amp;Services'!G83=0,""," / "&amp;'H.W&amp;S.W&amp;Services'!G83)</f>
        <v/>
      </c>
      <c r="I69" t="str">
        <f>IF('H.W&amp;S.W&amp;Services'!D83=0,"",'H.W&amp;S.W&amp;Services'!D83)</f>
        <v/>
      </c>
      <c r="J69" s="2" t="str">
        <f>IF('H.W&amp;S.W&amp;Services'!E83=0,"",'H.W&amp;S.W&amp;Services'!E83)</f>
        <v/>
      </c>
    </row>
    <row r="70" spans="1:10" x14ac:dyDescent="0.2">
      <c r="A70" s="2" t="str">
        <f t="shared" ca="1" si="1"/>
        <v/>
      </c>
      <c r="B70" s="2" t="str">
        <f>IF('H.W&amp;S.W&amp;Services'!C84=0,"",'H.W&amp;S.W&amp;Services'!C84)</f>
        <v/>
      </c>
      <c r="C70" s="2" t="str">
        <f>IF('H.W&amp;S.W&amp;Services'!C84=0,"",'H.W&amp;S.W&amp;Services'!C84)</f>
        <v/>
      </c>
      <c r="D70" s="2" t="str">
        <f>IF('H.W&amp;S.W&amp;Services'!H84=0,"",'H.W&amp;S.W&amp;Services'!H84)</f>
        <v/>
      </c>
      <c r="E70" s="2" t="str">
        <f>IF('H.W&amp;S.W&amp;Services'!I84=0,"",'H.W&amp;S.W&amp;Services'!I84)</f>
        <v/>
      </c>
      <c r="F70" s="3" t="str">
        <f>IF('H.W&amp;S.W&amp;Services'!J84=0,"",'H.W&amp;S.W&amp;Services'!J84)</f>
        <v/>
      </c>
      <c r="G70" s="4" t="str">
        <f>IF('H.W&amp;S.W&amp;Services'!O84=0,"",'H.W&amp;S.W&amp;Services'!O84)</f>
        <v/>
      </c>
      <c r="H70" s="2" t="str">
        <f>IF('H.W&amp;S.W&amp;Services'!B84=0,"",'H.W&amp;S.W&amp;Services'!B84) &amp; IF('H.W&amp;S.W&amp;Services'!F84=0,""," / "&amp;'H.W&amp;S.W&amp;Services'!F84) &amp; IF('H.W&amp;S.W&amp;Services'!G84=0,""," / "&amp;'H.W&amp;S.W&amp;Services'!G84)</f>
        <v/>
      </c>
      <c r="I70" t="str">
        <f>IF('H.W&amp;S.W&amp;Services'!D84=0,"",'H.W&amp;S.W&amp;Services'!D84)</f>
        <v/>
      </c>
      <c r="J70" s="2" t="str">
        <f>IF('H.W&amp;S.W&amp;Services'!E84=0,"",'H.W&amp;S.W&amp;Services'!E84)</f>
        <v/>
      </c>
    </row>
    <row r="71" spans="1:10" x14ac:dyDescent="0.2">
      <c r="A71" s="2" t="str">
        <f t="shared" ca="1" si="1"/>
        <v/>
      </c>
      <c r="B71" s="2" t="str">
        <f>IF('H.W&amp;S.W&amp;Services'!C85=0,"",'H.W&amp;S.W&amp;Services'!C85)</f>
        <v/>
      </c>
      <c r="C71" s="2" t="str">
        <f>IF('H.W&amp;S.W&amp;Services'!C85=0,"",'H.W&amp;S.W&amp;Services'!C85)</f>
        <v/>
      </c>
      <c r="D71" s="2" t="str">
        <f>IF('H.W&amp;S.W&amp;Services'!H85=0,"",'H.W&amp;S.W&amp;Services'!H85)</f>
        <v/>
      </c>
      <c r="E71" s="2" t="str">
        <f>IF('H.W&amp;S.W&amp;Services'!I85=0,"",'H.W&amp;S.W&amp;Services'!I85)</f>
        <v/>
      </c>
      <c r="F71" s="3" t="str">
        <f>IF('H.W&amp;S.W&amp;Services'!J85=0,"",'H.W&amp;S.W&amp;Services'!J85)</f>
        <v/>
      </c>
      <c r="G71" s="4" t="str">
        <f>IF('H.W&amp;S.W&amp;Services'!O85=0,"",'H.W&amp;S.W&amp;Services'!O85)</f>
        <v/>
      </c>
      <c r="H71" s="2" t="str">
        <f>IF('H.W&amp;S.W&amp;Services'!B85=0,"",'H.W&amp;S.W&amp;Services'!B85) &amp; IF('H.W&amp;S.W&amp;Services'!F85=0,""," / "&amp;'H.W&amp;S.W&amp;Services'!F85) &amp; IF('H.W&amp;S.W&amp;Services'!G85=0,""," / "&amp;'H.W&amp;S.W&amp;Services'!G85)</f>
        <v/>
      </c>
      <c r="I71" t="str">
        <f>IF('H.W&amp;S.W&amp;Services'!D85=0,"",'H.W&amp;S.W&amp;Services'!D85)</f>
        <v/>
      </c>
      <c r="J71" s="2" t="str">
        <f>IF('H.W&amp;S.W&amp;Services'!E85=0,"",'H.W&amp;S.W&amp;Services'!E85)</f>
        <v/>
      </c>
    </row>
    <row r="72" spans="1:10" x14ac:dyDescent="0.2">
      <c r="A72" s="2" t="str">
        <f t="shared" ca="1" si="1"/>
        <v/>
      </c>
      <c r="B72" s="2" t="str">
        <f>IF('H.W&amp;S.W&amp;Services'!C86=0,"",'H.W&amp;S.W&amp;Services'!C86)</f>
        <v/>
      </c>
      <c r="C72" s="2" t="str">
        <f>IF('H.W&amp;S.W&amp;Services'!C86=0,"",'H.W&amp;S.W&amp;Services'!C86)</f>
        <v/>
      </c>
      <c r="D72" s="2" t="str">
        <f>IF('H.W&amp;S.W&amp;Services'!H86=0,"",'H.W&amp;S.W&amp;Services'!H86)</f>
        <v/>
      </c>
      <c r="E72" s="2" t="str">
        <f>IF('H.W&amp;S.W&amp;Services'!I86=0,"",'H.W&amp;S.W&amp;Services'!I86)</f>
        <v/>
      </c>
      <c r="F72" s="3" t="str">
        <f>IF('H.W&amp;S.W&amp;Services'!J86=0,"",'H.W&amp;S.W&amp;Services'!J86)</f>
        <v/>
      </c>
      <c r="G72" s="4" t="str">
        <f>IF('H.W&amp;S.W&amp;Services'!O86=0,"",'H.W&amp;S.W&amp;Services'!O86)</f>
        <v/>
      </c>
      <c r="H72" s="2" t="str">
        <f>IF('H.W&amp;S.W&amp;Services'!B86=0,"",'H.W&amp;S.W&amp;Services'!B86) &amp; IF('H.W&amp;S.W&amp;Services'!F86=0,""," / "&amp;'H.W&amp;S.W&amp;Services'!F86) &amp; IF('H.W&amp;S.W&amp;Services'!G86=0,""," / "&amp;'H.W&amp;S.W&amp;Services'!G86)</f>
        <v/>
      </c>
      <c r="I72" t="str">
        <f>IF('H.W&amp;S.W&amp;Services'!D86=0,"",'H.W&amp;S.W&amp;Services'!D86)</f>
        <v/>
      </c>
      <c r="J72" s="2" t="str">
        <f>IF('H.W&amp;S.W&amp;Services'!E86=0,"",'H.W&amp;S.W&amp;Services'!E86)</f>
        <v/>
      </c>
    </row>
    <row r="73" spans="1:10" x14ac:dyDescent="0.2">
      <c r="A73" s="2" t="str">
        <f t="shared" ca="1" si="1"/>
        <v/>
      </c>
      <c r="B73" s="2" t="str">
        <f>IF('H.W&amp;S.W&amp;Services'!C87=0,"",'H.W&amp;S.W&amp;Services'!C87)</f>
        <v/>
      </c>
      <c r="C73" s="2" t="str">
        <f>IF('H.W&amp;S.W&amp;Services'!C87=0,"",'H.W&amp;S.W&amp;Services'!C87)</f>
        <v/>
      </c>
      <c r="D73" s="2" t="str">
        <f>IF('H.W&amp;S.W&amp;Services'!H87=0,"",'H.W&amp;S.W&amp;Services'!H87)</f>
        <v/>
      </c>
      <c r="E73" s="2" t="str">
        <f>IF('H.W&amp;S.W&amp;Services'!I87=0,"",'H.W&amp;S.W&amp;Services'!I87)</f>
        <v/>
      </c>
      <c r="F73" s="3" t="str">
        <f>IF('H.W&amp;S.W&amp;Services'!J87=0,"",'H.W&amp;S.W&amp;Services'!J87)</f>
        <v/>
      </c>
      <c r="G73" s="4" t="str">
        <f>IF('H.W&amp;S.W&amp;Services'!O87=0,"",'H.W&amp;S.W&amp;Services'!O87)</f>
        <v/>
      </c>
      <c r="H73" s="2" t="str">
        <f>IF('H.W&amp;S.W&amp;Services'!B87=0,"",'H.W&amp;S.W&amp;Services'!B87) &amp; IF('H.W&amp;S.W&amp;Services'!F87=0,""," / "&amp;'H.W&amp;S.W&amp;Services'!F87) &amp; IF('H.W&amp;S.W&amp;Services'!G87=0,""," / "&amp;'H.W&amp;S.W&amp;Services'!G87)</f>
        <v/>
      </c>
      <c r="I73" t="str">
        <f>IF('H.W&amp;S.W&amp;Services'!D87=0,"",'H.W&amp;S.W&amp;Services'!D87)</f>
        <v/>
      </c>
      <c r="J73" s="2" t="str">
        <f>IF('H.W&amp;S.W&amp;Services'!E87=0,"",'H.W&amp;S.W&amp;Services'!E87)</f>
        <v/>
      </c>
    </row>
    <row r="74" spans="1:10" x14ac:dyDescent="0.2">
      <c r="A74" s="2" t="str">
        <f t="shared" ca="1" si="1"/>
        <v/>
      </c>
      <c r="B74" s="2" t="str">
        <f>IF('H.W&amp;S.W&amp;Services'!C88=0,"",'H.W&amp;S.W&amp;Services'!C88)</f>
        <v/>
      </c>
      <c r="C74" s="2" t="str">
        <f>IF('H.W&amp;S.W&amp;Services'!C88=0,"",'H.W&amp;S.W&amp;Services'!C88)</f>
        <v/>
      </c>
      <c r="D74" s="2" t="str">
        <f>IF('H.W&amp;S.W&amp;Services'!H88=0,"",'H.W&amp;S.W&amp;Services'!H88)</f>
        <v/>
      </c>
      <c r="E74" s="2" t="str">
        <f>IF('H.W&amp;S.W&amp;Services'!I88=0,"",'H.W&amp;S.W&amp;Services'!I88)</f>
        <v/>
      </c>
      <c r="F74" s="3" t="str">
        <f>IF('H.W&amp;S.W&amp;Services'!J88=0,"",'H.W&amp;S.W&amp;Services'!J88)</f>
        <v/>
      </c>
      <c r="G74" s="4" t="str">
        <f>IF('H.W&amp;S.W&amp;Services'!O88=0,"",'H.W&amp;S.W&amp;Services'!O88)</f>
        <v/>
      </c>
      <c r="H74" s="2" t="str">
        <f>IF('H.W&amp;S.W&amp;Services'!B88=0,"",'H.W&amp;S.W&amp;Services'!B88) &amp; IF('H.W&amp;S.W&amp;Services'!F88=0,""," / "&amp;'H.W&amp;S.W&amp;Services'!F88) &amp; IF('H.W&amp;S.W&amp;Services'!G88=0,""," / "&amp;'H.W&amp;S.W&amp;Services'!G88)</f>
        <v/>
      </c>
      <c r="I74" t="str">
        <f>IF('H.W&amp;S.W&amp;Services'!D88=0,"",'H.W&amp;S.W&amp;Services'!D88)</f>
        <v/>
      </c>
      <c r="J74" s="2" t="str">
        <f>IF('H.W&amp;S.W&amp;Services'!E88=0,"",'H.W&amp;S.W&amp;Services'!E88)</f>
        <v/>
      </c>
    </row>
    <row r="75" spans="1:10" x14ac:dyDescent="0.2">
      <c r="A75" s="2" t="str">
        <f t="shared" ca="1" si="1"/>
        <v/>
      </c>
      <c r="B75" s="2" t="str">
        <f>IF('H.W&amp;S.W&amp;Services'!C89=0,"",'H.W&amp;S.W&amp;Services'!C89)</f>
        <v/>
      </c>
      <c r="C75" s="2" t="str">
        <f>IF('H.W&amp;S.W&amp;Services'!C89=0,"",'H.W&amp;S.W&amp;Services'!C89)</f>
        <v/>
      </c>
      <c r="D75" s="2" t="str">
        <f>IF('H.W&amp;S.W&amp;Services'!H89=0,"",'H.W&amp;S.W&amp;Services'!H89)</f>
        <v/>
      </c>
      <c r="E75" s="2" t="str">
        <f>IF('H.W&amp;S.W&amp;Services'!I89=0,"",'H.W&amp;S.W&amp;Services'!I89)</f>
        <v/>
      </c>
      <c r="F75" s="3" t="str">
        <f>IF('H.W&amp;S.W&amp;Services'!J89=0,"",'H.W&amp;S.W&amp;Services'!J89)</f>
        <v/>
      </c>
      <c r="G75" s="4" t="str">
        <f>IF('H.W&amp;S.W&amp;Services'!O89=0,"",'H.W&amp;S.W&amp;Services'!O89)</f>
        <v/>
      </c>
      <c r="H75" s="2" t="str">
        <f>IF('H.W&amp;S.W&amp;Services'!B89=0,"",'H.W&amp;S.W&amp;Services'!B89) &amp; IF('H.W&amp;S.W&amp;Services'!F89=0,""," / "&amp;'H.W&amp;S.W&amp;Services'!F89) &amp; IF('H.W&amp;S.W&amp;Services'!G89=0,""," / "&amp;'H.W&amp;S.W&amp;Services'!G89)</f>
        <v/>
      </c>
      <c r="I75" t="str">
        <f>IF('H.W&amp;S.W&amp;Services'!D89=0,"",'H.W&amp;S.W&amp;Services'!D89)</f>
        <v/>
      </c>
      <c r="J75" s="2" t="str">
        <f>IF('H.W&amp;S.W&amp;Services'!E89=0,"",'H.W&amp;S.W&amp;Services'!E89)</f>
        <v/>
      </c>
    </row>
    <row r="76" spans="1:10" x14ac:dyDescent="0.2">
      <c r="A76" s="2" t="str">
        <f t="shared" ca="1" si="1"/>
        <v/>
      </c>
      <c r="B76" s="2" t="str">
        <f>IF('H.W&amp;S.W&amp;Services'!C90=0,"",'H.W&amp;S.W&amp;Services'!C90)</f>
        <v/>
      </c>
      <c r="C76" s="2" t="str">
        <f>IF('H.W&amp;S.W&amp;Services'!C90=0,"",'H.W&amp;S.W&amp;Services'!C90)</f>
        <v/>
      </c>
      <c r="D76" s="2" t="str">
        <f>IF('H.W&amp;S.W&amp;Services'!H90=0,"",'H.W&amp;S.W&amp;Services'!H90)</f>
        <v/>
      </c>
      <c r="E76" s="2" t="str">
        <f>IF('H.W&amp;S.W&amp;Services'!I90=0,"",'H.W&amp;S.W&amp;Services'!I90)</f>
        <v/>
      </c>
      <c r="F76" s="3" t="str">
        <f>IF('H.W&amp;S.W&amp;Services'!J90=0,"",'H.W&amp;S.W&amp;Services'!J90)</f>
        <v/>
      </c>
      <c r="G76" s="4" t="str">
        <f>IF('H.W&amp;S.W&amp;Services'!O90=0,"",'H.W&amp;S.W&amp;Services'!O90)</f>
        <v/>
      </c>
      <c r="H76" s="2" t="str">
        <f>IF('H.W&amp;S.W&amp;Services'!B90=0,"",'H.W&amp;S.W&amp;Services'!B90) &amp; IF('H.W&amp;S.W&amp;Services'!F90=0,""," / "&amp;'H.W&amp;S.W&amp;Services'!F90) &amp; IF('H.W&amp;S.W&amp;Services'!G90=0,""," / "&amp;'H.W&amp;S.W&amp;Services'!G90)</f>
        <v/>
      </c>
      <c r="I76" t="str">
        <f>IF('H.W&amp;S.W&amp;Services'!D90=0,"",'H.W&amp;S.W&amp;Services'!D90)</f>
        <v/>
      </c>
      <c r="J76" s="2" t="str">
        <f>IF('H.W&amp;S.W&amp;Services'!E90=0,"",'H.W&amp;S.W&amp;Services'!E90)</f>
        <v/>
      </c>
    </row>
    <row r="77" spans="1:10" x14ac:dyDescent="0.2">
      <c r="A77" s="2" t="str">
        <f t="shared" ca="1" si="1"/>
        <v/>
      </c>
      <c r="B77" s="2" t="str">
        <f>IF('H.W&amp;S.W&amp;Services'!C91=0,"",'H.W&amp;S.W&amp;Services'!C91)</f>
        <v/>
      </c>
      <c r="C77" s="2" t="str">
        <f>IF('H.W&amp;S.W&amp;Services'!C91=0,"",'H.W&amp;S.W&amp;Services'!C91)</f>
        <v/>
      </c>
      <c r="D77" s="2" t="str">
        <f>IF('H.W&amp;S.W&amp;Services'!H91=0,"",'H.W&amp;S.W&amp;Services'!H91)</f>
        <v/>
      </c>
      <c r="E77" s="2" t="str">
        <f>IF('H.W&amp;S.W&amp;Services'!I91=0,"",'H.W&amp;S.W&amp;Services'!I91)</f>
        <v/>
      </c>
      <c r="F77" s="3" t="str">
        <f>IF('H.W&amp;S.W&amp;Services'!J91=0,"",'H.W&amp;S.W&amp;Services'!J91)</f>
        <v/>
      </c>
      <c r="G77" s="4" t="str">
        <f>IF('H.W&amp;S.W&amp;Services'!O91=0,"",'H.W&amp;S.W&amp;Services'!O91)</f>
        <v/>
      </c>
      <c r="H77" s="2" t="str">
        <f>IF('H.W&amp;S.W&amp;Services'!B91=0,"",'H.W&amp;S.W&amp;Services'!B91) &amp; IF('H.W&amp;S.W&amp;Services'!F91=0,""," / "&amp;'H.W&amp;S.W&amp;Services'!F91) &amp; IF('H.W&amp;S.W&amp;Services'!G91=0,""," / "&amp;'H.W&amp;S.W&amp;Services'!G91)</f>
        <v/>
      </c>
      <c r="I77" t="str">
        <f>IF('H.W&amp;S.W&amp;Services'!D91=0,"",'H.W&amp;S.W&amp;Services'!D91)</f>
        <v/>
      </c>
      <c r="J77" s="2" t="str">
        <f>IF('H.W&amp;S.W&amp;Services'!E91=0,"",'H.W&amp;S.W&amp;Services'!E91)</f>
        <v/>
      </c>
    </row>
    <row r="78" spans="1:10" x14ac:dyDescent="0.2">
      <c r="A78" s="2" t="str">
        <f t="shared" ca="1" si="1"/>
        <v/>
      </c>
      <c r="B78" s="2" t="str">
        <f>IF('H.W&amp;S.W&amp;Services'!C92=0,"",'H.W&amp;S.W&amp;Services'!C92)</f>
        <v/>
      </c>
      <c r="C78" s="2" t="str">
        <f>IF('H.W&amp;S.W&amp;Services'!C92=0,"",'H.W&amp;S.W&amp;Services'!C92)</f>
        <v/>
      </c>
      <c r="D78" s="2" t="str">
        <f>IF('H.W&amp;S.W&amp;Services'!H92=0,"",'H.W&amp;S.W&amp;Services'!H92)</f>
        <v/>
      </c>
      <c r="E78" s="2" t="str">
        <f>IF('H.W&amp;S.W&amp;Services'!I92=0,"",'H.W&amp;S.W&amp;Services'!I92)</f>
        <v/>
      </c>
      <c r="F78" s="3" t="str">
        <f>IF('H.W&amp;S.W&amp;Services'!J92=0,"",'H.W&amp;S.W&amp;Services'!J92)</f>
        <v/>
      </c>
      <c r="G78" s="4" t="str">
        <f>IF('H.W&amp;S.W&amp;Services'!O92=0,"",'H.W&amp;S.W&amp;Services'!O92)</f>
        <v/>
      </c>
      <c r="H78" s="2" t="str">
        <f>IF('H.W&amp;S.W&amp;Services'!B92=0,"",'H.W&amp;S.W&amp;Services'!B92) &amp; IF('H.W&amp;S.W&amp;Services'!F92=0,""," / "&amp;'H.W&amp;S.W&amp;Services'!F92) &amp; IF('H.W&amp;S.W&amp;Services'!G92=0,""," / "&amp;'H.W&amp;S.W&amp;Services'!G92)</f>
        <v/>
      </c>
      <c r="I78" t="str">
        <f>IF('H.W&amp;S.W&amp;Services'!D92=0,"",'H.W&amp;S.W&amp;Services'!D92)</f>
        <v/>
      </c>
      <c r="J78" s="2" t="str">
        <f>IF('H.W&amp;S.W&amp;Services'!E92=0,"",'H.W&amp;S.W&amp;Services'!E92)</f>
        <v/>
      </c>
    </row>
    <row r="79" spans="1:10" x14ac:dyDescent="0.2">
      <c r="A79" s="2" t="str">
        <f t="shared" ca="1" si="1"/>
        <v/>
      </c>
      <c r="B79" s="2" t="str">
        <f>IF('H.W&amp;S.W&amp;Services'!C93=0,"",'H.W&amp;S.W&amp;Services'!C93)</f>
        <v/>
      </c>
      <c r="C79" s="2" t="str">
        <f>IF('H.W&amp;S.W&amp;Services'!C93=0,"",'H.W&amp;S.W&amp;Services'!C93)</f>
        <v/>
      </c>
      <c r="D79" s="2" t="str">
        <f>IF('H.W&amp;S.W&amp;Services'!H93=0,"",'H.W&amp;S.W&amp;Services'!H93)</f>
        <v/>
      </c>
      <c r="E79" s="2" t="str">
        <f>IF('H.W&amp;S.W&amp;Services'!I93=0,"",'H.W&amp;S.W&amp;Services'!I93)</f>
        <v/>
      </c>
      <c r="F79" s="3" t="str">
        <f>IF('H.W&amp;S.W&amp;Services'!J93=0,"",'H.W&amp;S.W&amp;Services'!J93)</f>
        <v/>
      </c>
      <c r="G79" s="4" t="str">
        <f>IF('H.W&amp;S.W&amp;Services'!O93=0,"",'H.W&amp;S.W&amp;Services'!O93)</f>
        <v/>
      </c>
      <c r="H79" s="2" t="str">
        <f>IF('H.W&amp;S.W&amp;Services'!B93=0,"",'H.W&amp;S.W&amp;Services'!B93) &amp; IF('H.W&amp;S.W&amp;Services'!F93=0,""," / "&amp;'H.W&amp;S.W&amp;Services'!F93) &amp; IF('H.W&amp;S.W&amp;Services'!G93=0,""," / "&amp;'H.W&amp;S.W&amp;Services'!G93)</f>
        <v/>
      </c>
      <c r="I79" t="str">
        <f>IF('H.W&amp;S.W&amp;Services'!D93=0,"",'H.W&amp;S.W&amp;Services'!D93)</f>
        <v/>
      </c>
      <c r="J79" s="2" t="str">
        <f>IF('H.W&amp;S.W&amp;Services'!E93=0,"",'H.W&amp;S.W&amp;Services'!E93)</f>
        <v/>
      </c>
    </row>
    <row r="80" spans="1:10" x14ac:dyDescent="0.2">
      <c r="A80" s="2" t="str">
        <f t="shared" ca="1" si="1"/>
        <v/>
      </c>
      <c r="B80" s="2" t="str">
        <f>IF('H.W&amp;S.W&amp;Services'!C94=0,"",'H.W&amp;S.W&amp;Services'!C94)</f>
        <v/>
      </c>
      <c r="C80" s="2" t="str">
        <f>IF('H.W&amp;S.W&amp;Services'!C94=0,"",'H.W&amp;S.W&amp;Services'!C94)</f>
        <v/>
      </c>
      <c r="D80" s="2" t="str">
        <f>IF('H.W&amp;S.W&amp;Services'!H94=0,"",'H.W&amp;S.W&amp;Services'!H94)</f>
        <v/>
      </c>
      <c r="E80" s="2" t="str">
        <f>IF('H.W&amp;S.W&amp;Services'!I94=0,"",'H.W&amp;S.W&amp;Services'!I94)</f>
        <v/>
      </c>
      <c r="F80" s="3" t="str">
        <f>IF('H.W&amp;S.W&amp;Services'!J94=0,"",'H.W&amp;S.W&amp;Services'!J94)</f>
        <v/>
      </c>
      <c r="G80" s="4" t="str">
        <f>IF('H.W&amp;S.W&amp;Services'!O94=0,"",'H.W&amp;S.W&amp;Services'!O94)</f>
        <v/>
      </c>
      <c r="H80" s="2" t="str">
        <f>IF('H.W&amp;S.W&amp;Services'!B94=0,"",'H.W&amp;S.W&amp;Services'!B94) &amp; IF('H.W&amp;S.W&amp;Services'!F94=0,""," / "&amp;'H.W&amp;S.W&amp;Services'!F94) &amp; IF('H.W&amp;S.W&amp;Services'!G94=0,""," / "&amp;'H.W&amp;S.W&amp;Services'!G94)</f>
        <v/>
      </c>
      <c r="I80" t="str">
        <f>IF('H.W&amp;S.W&amp;Services'!D94=0,"",'H.W&amp;S.W&amp;Services'!D94)</f>
        <v/>
      </c>
      <c r="J80" s="2" t="str">
        <f>IF('H.W&amp;S.W&amp;Services'!E94=0,"",'H.W&amp;S.W&amp;Services'!E94)</f>
        <v/>
      </c>
    </row>
    <row r="81" spans="1:10" x14ac:dyDescent="0.2">
      <c r="A81" s="2" t="str">
        <f t="shared" ca="1" si="1"/>
        <v/>
      </c>
      <c r="B81" s="2" t="str">
        <f>IF('H.W&amp;S.W&amp;Services'!C95=0,"",'H.W&amp;S.W&amp;Services'!C95)</f>
        <v/>
      </c>
      <c r="C81" s="2" t="str">
        <f>IF('H.W&amp;S.W&amp;Services'!C95=0,"",'H.W&amp;S.W&amp;Services'!C95)</f>
        <v/>
      </c>
      <c r="D81" s="2" t="str">
        <f>IF('H.W&amp;S.W&amp;Services'!H95=0,"",'H.W&amp;S.W&amp;Services'!H95)</f>
        <v/>
      </c>
      <c r="E81" s="2" t="str">
        <f>IF('H.W&amp;S.W&amp;Services'!I95=0,"",'H.W&amp;S.W&amp;Services'!I95)</f>
        <v/>
      </c>
      <c r="F81" s="3" t="str">
        <f>IF('H.W&amp;S.W&amp;Services'!J95=0,"",'H.W&amp;S.W&amp;Services'!J95)</f>
        <v/>
      </c>
      <c r="G81" s="4" t="str">
        <f>IF('H.W&amp;S.W&amp;Services'!O95=0,"",'H.W&amp;S.W&amp;Services'!O95)</f>
        <v/>
      </c>
      <c r="H81" s="2" t="str">
        <f>IF('H.W&amp;S.W&amp;Services'!B95=0,"",'H.W&amp;S.W&amp;Services'!B95) &amp; IF('H.W&amp;S.W&amp;Services'!F95=0,""," / "&amp;'H.W&amp;S.W&amp;Services'!F95) &amp; IF('H.W&amp;S.W&amp;Services'!G95=0,""," / "&amp;'H.W&amp;S.W&amp;Services'!G95)</f>
        <v/>
      </c>
      <c r="I81" t="str">
        <f>IF('H.W&amp;S.W&amp;Services'!D95=0,"",'H.W&amp;S.W&amp;Services'!D95)</f>
        <v/>
      </c>
      <c r="J81" s="2" t="str">
        <f>IF('H.W&amp;S.W&amp;Services'!E95=0,"",'H.W&amp;S.W&amp;Services'!E95)</f>
        <v/>
      </c>
    </row>
    <row r="82" spans="1:10" x14ac:dyDescent="0.2">
      <c r="A82" s="2" t="str">
        <f t="shared" ca="1" si="1"/>
        <v/>
      </c>
      <c r="B82" s="2" t="str">
        <f>IF('H.W&amp;S.W&amp;Services'!C96=0,"",'H.W&amp;S.W&amp;Services'!C96)</f>
        <v/>
      </c>
      <c r="C82" s="2" t="str">
        <f>IF('H.W&amp;S.W&amp;Services'!C96=0,"",'H.W&amp;S.W&amp;Services'!C96)</f>
        <v/>
      </c>
      <c r="D82" s="2" t="str">
        <f>IF('H.W&amp;S.W&amp;Services'!H96=0,"",'H.W&amp;S.W&amp;Services'!H96)</f>
        <v/>
      </c>
      <c r="E82" s="2" t="str">
        <f>IF('H.W&amp;S.W&amp;Services'!I96=0,"",'H.W&amp;S.W&amp;Services'!I96)</f>
        <v/>
      </c>
      <c r="F82" s="3" t="str">
        <f>IF('H.W&amp;S.W&amp;Services'!J96=0,"",'H.W&amp;S.W&amp;Services'!J96)</f>
        <v/>
      </c>
      <c r="G82" s="4" t="str">
        <f>IF('H.W&amp;S.W&amp;Services'!O96=0,"",'H.W&amp;S.W&amp;Services'!O96)</f>
        <v/>
      </c>
      <c r="H82" s="2" t="str">
        <f>IF('H.W&amp;S.W&amp;Services'!B96=0,"",'H.W&amp;S.W&amp;Services'!B96) &amp; IF('H.W&amp;S.W&amp;Services'!F96=0,""," / "&amp;'H.W&amp;S.W&amp;Services'!F96) &amp; IF('H.W&amp;S.W&amp;Services'!G96=0,""," / "&amp;'H.W&amp;S.W&amp;Services'!G96)</f>
        <v/>
      </c>
      <c r="I82" t="str">
        <f>IF('H.W&amp;S.W&amp;Services'!D96=0,"",'H.W&amp;S.W&amp;Services'!D96)</f>
        <v/>
      </c>
      <c r="J82" s="2" t="str">
        <f>IF('H.W&amp;S.W&amp;Services'!E96=0,"",'H.W&amp;S.W&amp;Services'!E96)</f>
        <v/>
      </c>
    </row>
    <row r="83" spans="1:10" x14ac:dyDescent="0.2">
      <c r="A83" s="2" t="str">
        <f t="shared" ca="1" si="1"/>
        <v/>
      </c>
      <c r="B83" s="2" t="str">
        <f>IF('H.W&amp;S.W&amp;Services'!C97=0,"",'H.W&amp;S.W&amp;Services'!C97)</f>
        <v/>
      </c>
      <c r="C83" s="2" t="str">
        <f>IF('H.W&amp;S.W&amp;Services'!C97=0,"",'H.W&amp;S.W&amp;Services'!C97)</f>
        <v/>
      </c>
      <c r="D83" s="2" t="str">
        <f>IF('H.W&amp;S.W&amp;Services'!H97=0,"",'H.W&amp;S.W&amp;Services'!H97)</f>
        <v/>
      </c>
      <c r="E83" s="2" t="str">
        <f>IF('H.W&amp;S.W&amp;Services'!I97=0,"",'H.W&amp;S.W&amp;Services'!I97)</f>
        <v/>
      </c>
      <c r="F83" s="3" t="str">
        <f>IF('H.W&amp;S.W&amp;Services'!J97=0,"",'H.W&amp;S.W&amp;Services'!J97)</f>
        <v/>
      </c>
      <c r="G83" s="4" t="str">
        <f>IF('H.W&amp;S.W&amp;Services'!O97=0,"",'H.W&amp;S.W&amp;Services'!O97)</f>
        <v/>
      </c>
      <c r="H83" s="2" t="str">
        <f>IF('H.W&amp;S.W&amp;Services'!B97=0,"",'H.W&amp;S.W&amp;Services'!B97) &amp; IF('H.W&amp;S.W&amp;Services'!F97=0,""," / "&amp;'H.W&amp;S.W&amp;Services'!F97) &amp; IF('H.W&amp;S.W&amp;Services'!G97=0,""," / "&amp;'H.W&amp;S.W&amp;Services'!G97)</f>
        <v/>
      </c>
      <c r="I83" t="str">
        <f>IF('H.W&amp;S.W&amp;Services'!D97=0,"",'H.W&amp;S.W&amp;Services'!D97)</f>
        <v/>
      </c>
      <c r="J83" s="2" t="str">
        <f>IF('H.W&amp;S.W&amp;Services'!E97=0,"",'H.W&amp;S.W&amp;Services'!E97)</f>
        <v/>
      </c>
    </row>
    <row r="84" spans="1:10" x14ac:dyDescent="0.2">
      <c r="A84" s="2" t="str">
        <f t="shared" ca="1" si="1"/>
        <v/>
      </c>
      <c r="B84" s="2" t="str">
        <f>IF('H.W&amp;S.W&amp;Services'!C98=0,"",'H.W&amp;S.W&amp;Services'!C98)</f>
        <v/>
      </c>
      <c r="C84" s="2" t="str">
        <f>IF('H.W&amp;S.W&amp;Services'!C98=0,"",'H.W&amp;S.W&amp;Services'!C98)</f>
        <v/>
      </c>
      <c r="D84" s="2" t="str">
        <f>IF('H.W&amp;S.W&amp;Services'!H98=0,"",'H.W&amp;S.W&amp;Services'!H98)</f>
        <v/>
      </c>
      <c r="E84" s="2" t="str">
        <f>IF('H.W&amp;S.W&amp;Services'!I98=0,"",'H.W&amp;S.W&amp;Services'!I98)</f>
        <v/>
      </c>
      <c r="F84" s="3" t="str">
        <f>IF('H.W&amp;S.W&amp;Services'!J98=0,"",'H.W&amp;S.W&amp;Services'!J98)</f>
        <v/>
      </c>
      <c r="G84" s="4" t="str">
        <f>IF('H.W&amp;S.W&amp;Services'!O98=0,"",'H.W&amp;S.W&amp;Services'!O98)</f>
        <v/>
      </c>
      <c r="H84" s="2" t="str">
        <f>IF('H.W&amp;S.W&amp;Services'!B98=0,"",'H.W&amp;S.W&amp;Services'!B98) &amp; IF('H.W&amp;S.W&amp;Services'!F98=0,""," / "&amp;'H.W&amp;S.W&amp;Services'!F98) &amp; IF('H.W&amp;S.W&amp;Services'!G98=0,""," / "&amp;'H.W&amp;S.W&amp;Services'!G98)</f>
        <v/>
      </c>
      <c r="I84" t="str">
        <f>IF('H.W&amp;S.W&amp;Services'!D98=0,"",'H.W&amp;S.W&amp;Services'!D98)</f>
        <v/>
      </c>
      <c r="J84" s="2" t="str">
        <f>IF('H.W&amp;S.W&amp;Services'!E98=0,"",'H.W&amp;S.W&amp;Services'!E98)</f>
        <v/>
      </c>
    </row>
    <row r="85" spans="1:10" x14ac:dyDescent="0.2">
      <c r="A85" s="2" t="str">
        <f t="shared" ca="1" si="1"/>
        <v/>
      </c>
      <c r="B85" s="2" t="str">
        <f>IF('H.W&amp;S.W&amp;Services'!C99=0,"",'H.W&amp;S.W&amp;Services'!C99)</f>
        <v/>
      </c>
      <c r="C85" s="2" t="str">
        <f>IF('H.W&amp;S.W&amp;Services'!C99=0,"",'H.W&amp;S.W&amp;Services'!C99)</f>
        <v/>
      </c>
      <c r="D85" s="2" t="str">
        <f>IF('H.W&amp;S.W&amp;Services'!H99=0,"",'H.W&amp;S.W&amp;Services'!H99)</f>
        <v/>
      </c>
      <c r="E85" s="2" t="str">
        <f>IF('H.W&amp;S.W&amp;Services'!I99=0,"",'H.W&amp;S.W&amp;Services'!I99)</f>
        <v/>
      </c>
      <c r="F85" s="3" t="str">
        <f>IF('H.W&amp;S.W&amp;Services'!J99=0,"",'H.W&amp;S.W&amp;Services'!J99)</f>
        <v/>
      </c>
      <c r="G85" s="4" t="str">
        <f>IF('H.W&amp;S.W&amp;Services'!O99=0,"",'H.W&amp;S.W&amp;Services'!O99)</f>
        <v/>
      </c>
      <c r="H85" s="2" t="str">
        <f>IF('H.W&amp;S.W&amp;Services'!B99=0,"",'H.W&amp;S.W&amp;Services'!B99) &amp; IF('H.W&amp;S.W&amp;Services'!F99=0,""," / "&amp;'H.W&amp;S.W&amp;Services'!F99) &amp; IF('H.W&amp;S.W&amp;Services'!G99=0,""," / "&amp;'H.W&amp;S.W&amp;Services'!G99)</f>
        <v/>
      </c>
      <c r="I85" t="str">
        <f>IF('H.W&amp;S.W&amp;Services'!D99=0,"",'H.W&amp;S.W&amp;Services'!D99)</f>
        <v/>
      </c>
      <c r="J85" s="2" t="str">
        <f>IF('H.W&amp;S.W&amp;Services'!E99=0,"",'H.W&amp;S.W&amp;Services'!E99)</f>
        <v/>
      </c>
    </row>
    <row r="86" spans="1:10" x14ac:dyDescent="0.2">
      <c r="A86" s="2" t="str">
        <f t="shared" ca="1" si="1"/>
        <v/>
      </c>
      <c r="B86" s="2" t="str">
        <f>IF('H.W&amp;S.W&amp;Services'!C100=0,"",'H.W&amp;S.W&amp;Services'!C100)</f>
        <v/>
      </c>
      <c r="C86" s="2" t="str">
        <f>IF('H.W&amp;S.W&amp;Services'!C100=0,"",'H.W&amp;S.W&amp;Services'!C100)</f>
        <v/>
      </c>
      <c r="D86" s="2" t="str">
        <f>IF('H.W&amp;S.W&amp;Services'!H100=0,"",'H.W&amp;S.W&amp;Services'!H100)</f>
        <v/>
      </c>
      <c r="E86" s="2" t="str">
        <f>IF('H.W&amp;S.W&amp;Services'!I100=0,"",'H.W&amp;S.W&amp;Services'!I100)</f>
        <v/>
      </c>
      <c r="F86" s="3" t="str">
        <f>IF('H.W&amp;S.W&amp;Services'!J100=0,"",'H.W&amp;S.W&amp;Services'!J100)</f>
        <v/>
      </c>
      <c r="G86" s="4" t="str">
        <f>IF('H.W&amp;S.W&amp;Services'!O100=0,"",'H.W&amp;S.W&amp;Services'!O100)</f>
        <v/>
      </c>
      <c r="H86" s="2" t="str">
        <f>IF('H.W&amp;S.W&amp;Services'!B100=0,"",'H.W&amp;S.W&amp;Services'!B100) &amp; IF('H.W&amp;S.W&amp;Services'!F100=0,""," / "&amp;'H.W&amp;S.W&amp;Services'!F100) &amp; IF('H.W&amp;S.W&amp;Services'!G100=0,""," / "&amp;'H.W&amp;S.W&amp;Services'!G100)</f>
        <v/>
      </c>
      <c r="I86" t="str">
        <f>IF('H.W&amp;S.W&amp;Services'!D100=0,"",'H.W&amp;S.W&amp;Services'!D100)</f>
        <v/>
      </c>
      <c r="J86" s="2" t="str">
        <f>IF('H.W&amp;S.W&amp;Services'!E100=0,"",'H.W&amp;S.W&amp;Services'!E100)</f>
        <v/>
      </c>
    </row>
    <row r="87" spans="1:10" x14ac:dyDescent="0.2">
      <c r="A87" s="2" t="str">
        <f t="shared" ca="1" si="1"/>
        <v/>
      </c>
      <c r="B87" s="2" t="str">
        <f>IF('H.W&amp;S.W&amp;Services'!C101=0,"",'H.W&amp;S.W&amp;Services'!C101)</f>
        <v/>
      </c>
      <c r="C87" s="2" t="str">
        <f>IF('H.W&amp;S.W&amp;Services'!C101=0,"",'H.W&amp;S.W&amp;Services'!C101)</f>
        <v/>
      </c>
      <c r="D87" s="2" t="str">
        <f>IF('H.W&amp;S.W&amp;Services'!H101=0,"",'H.W&amp;S.W&amp;Services'!H101)</f>
        <v/>
      </c>
      <c r="E87" s="2" t="str">
        <f>IF('H.W&amp;S.W&amp;Services'!I101=0,"",'H.W&amp;S.W&amp;Services'!I101)</f>
        <v/>
      </c>
      <c r="F87" s="3" t="str">
        <f>IF('H.W&amp;S.W&amp;Services'!J101=0,"",'H.W&amp;S.W&amp;Services'!J101)</f>
        <v/>
      </c>
      <c r="G87" s="4" t="str">
        <f>IF('H.W&amp;S.W&amp;Services'!O101=0,"",'H.W&amp;S.W&amp;Services'!O101)</f>
        <v/>
      </c>
      <c r="H87" s="2" t="str">
        <f>IF('H.W&amp;S.W&amp;Services'!B101=0,"",'H.W&amp;S.W&amp;Services'!B101) &amp; IF('H.W&amp;S.W&amp;Services'!F101=0,""," / "&amp;'H.W&amp;S.W&amp;Services'!F101) &amp; IF('H.W&amp;S.W&amp;Services'!G101=0,""," / "&amp;'H.W&amp;S.W&amp;Services'!G101)</f>
        <v/>
      </c>
      <c r="I87" t="str">
        <f>IF('H.W&amp;S.W&amp;Services'!D101=0,"",'H.W&amp;S.W&amp;Services'!D101)</f>
        <v/>
      </c>
      <c r="J87" s="2" t="str">
        <f>IF('H.W&amp;S.W&amp;Services'!E101=0,"",'H.W&amp;S.W&amp;Services'!E101)</f>
        <v/>
      </c>
    </row>
    <row r="88" spans="1:10" x14ac:dyDescent="0.2">
      <c r="A88" s="2" t="str">
        <f t="shared" ca="1" si="1"/>
        <v/>
      </c>
      <c r="B88" s="2" t="str">
        <f>IF('H.W&amp;S.W&amp;Services'!C102=0,"",'H.W&amp;S.W&amp;Services'!C102)</f>
        <v/>
      </c>
      <c r="C88" s="2" t="str">
        <f>IF('H.W&amp;S.W&amp;Services'!C102=0,"",'H.W&amp;S.W&amp;Services'!C102)</f>
        <v/>
      </c>
      <c r="D88" s="2" t="str">
        <f>IF('H.W&amp;S.W&amp;Services'!H102=0,"",'H.W&amp;S.W&amp;Services'!H102)</f>
        <v/>
      </c>
      <c r="E88" s="2" t="str">
        <f>IF('H.W&amp;S.W&amp;Services'!I102=0,"",'H.W&amp;S.W&amp;Services'!I102)</f>
        <v/>
      </c>
      <c r="F88" s="3" t="str">
        <f>IF('H.W&amp;S.W&amp;Services'!J102=0,"",'H.W&amp;S.W&amp;Services'!J102)</f>
        <v/>
      </c>
      <c r="G88" s="4" t="str">
        <f>IF('H.W&amp;S.W&amp;Services'!O102=0,"",'H.W&amp;S.W&amp;Services'!O102)</f>
        <v/>
      </c>
      <c r="H88" s="2" t="str">
        <f>IF('H.W&amp;S.W&amp;Services'!B102=0,"",'H.W&amp;S.W&amp;Services'!B102) &amp; IF('H.W&amp;S.W&amp;Services'!F102=0,""," / "&amp;'H.W&amp;S.W&amp;Services'!F102) &amp; IF('H.W&amp;S.W&amp;Services'!G102=0,""," / "&amp;'H.W&amp;S.W&amp;Services'!G102)</f>
        <v/>
      </c>
      <c r="I88" t="str">
        <f>IF('H.W&amp;S.W&amp;Services'!D102=0,"",'H.W&amp;S.W&amp;Services'!D102)</f>
        <v/>
      </c>
      <c r="J88" s="2" t="str">
        <f>IF('H.W&amp;S.W&amp;Services'!E102=0,"",'H.W&amp;S.W&amp;Services'!E102)</f>
        <v/>
      </c>
    </row>
    <row r="89" spans="1:10" x14ac:dyDescent="0.2">
      <c r="A89" s="2" t="str">
        <f t="shared" ca="1" si="1"/>
        <v/>
      </c>
      <c r="B89" s="2" t="str">
        <f>IF('H.W&amp;S.W&amp;Services'!C103=0,"",'H.W&amp;S.W&amp;Services'!C103)</f>
        <v/>
      </c>
      <c r="C89" s="2" t="str">
        <f>IF('H.W&amp;S.W&amp;Services'!C103=0,"",'H.W&amp;S.W&amp;Services'!C103)</f>
        <v/>
      </c>
      <c r="D89" s="2" t="str">
        <f>IF('H.W&amp;S.W&amp;Services'!H103=0,"",'H.W&amp;S.W&amp;Services'!H103)</f>
        <v/>
      </c>
      <c r="E89" s="2" t="str">
        <f>IF('H.W&amp;S.W&amp;Services'!I103=0,"",'H.W&amp;S.W&amp;Services'!I103)</f>
        <v/>
      </c>
      <c r="F89" s="3" t="str">
        <f>IF('H.W&amp;S.W&amp;Services'!J103=0,"",'H.W&amp;S.W&amp;Services'!J103)</f>
        <v/>
      </c>
      <c r="G89" s="4" t="str">
        <f>IF('H.W&amp;S.W&amp;Services'!O103=0,"",'H.W&amp;S.W&amp;Services'!O103)</f>
        <v/>
      </c>
      <c r="H89" s="2" t="str">
        <f>IF('H.W&amp;S.W&amp;Services'!B103=0,"",'H.W&amp;S.W&amp;Services'!B103) &amp; IF('H.W&amp;S.W&amp;Services'!F103=0,""," / "&amp;'H.W&amp;S.W&amp;Services'!F103) &amp; IF('H.W&amp;S.W&amp;Services'!G103=0,""," / "&amp;'H.W&amp;S.W&amp;Services'!G103)</f>
        <v/>
      </c>
      <c r="I89" t="str">
        <f>IF('H.W&amp;S.W&amp;Services'!D103=0,"",'H.W&amp;S.W&amp;Services'!D103)</f>
        <v/>
      </c>
      <c r="J89" s="2" t="str">
        <f>IF('H.W&amp;S.W&amp;Services'!E103=0,"",'H.W&amp;S.W&amp;Services'!E103)</f>
        <v/>
      </c>
    </row>
    <row r="90" spans="1:10" x14ac:dyDescent="0.2">
      <c r="A90" s="2" t="str">
        <f t="shared" ca="1" si="1"/>
        <v/>
      </c>
      <c r="B90" s="2" t="str">
        <f>IF('H.W&amp;S.W&amp;Services'!C104=0,"",'H.W&amp;S.W&amp;Services'!C104)</f>
        <v/>
      </c>
      <c r="C90" s="2" t="str">
        <f>IF('H.W&amp;S.W&amp;Services'!C104=0,"",'H.W&amp;S.W&amp;Services'!C104)</f>
        <v/>
      </c>
      <c r="D90" s="2" t="str">
        <f>IF('H.W&amp;S.W&amp;Services'!H104=0,"",'H.W&amp;S.W&amp;Services'!H104)</f>
        <v/>
      </c>
      <c r="E90" s="2" t="str">
        <f>IF('H.W&amp;S.W&amp;Services'!I104=0,"",'H.W&amp;S.W&amp;Services'!I104)</f>
        <v/>
      </c>
      <c r="F90" s="3" t="str">
        <f>IF('H.W&amp;S.W&amp;Services'!J104=0,"",'H.W&amp;S.W&amp;Services'!J104)</f>
        <v/>
      </c>
      <c r="G90" s="4" t="str">
        <f>IF('H.W&amp;S.W&amp;Services'!O104=0,"",'H.W&amp;S.W&amp;Services'!O104)</f>
        <v/>
      </c>
      <c r="H90" s="2" t="str">
        <f>IF('H.W&amp;S.W&amp;Services'!B104=0,"",'H.W&amp;S.W&amp;Services'!B104) &amp; IF('H.W&amp;S.W&amp;Services'!F104=0,""," / "&amp;'H.W&amp;S.W&amp;Services'!F104) &amp; IF('H.W&amp;S.W&amp;Services'!G104=0,""," / "&amp;'H.W&amp;S.W&amp;Services'!G104)</f>
        <v/>
      </c>
      <c r="I90" t="str">
        <f>IF('H.W&amp;S.W&amp;Services'!D104=0,"",'H.W&amp;S.W&amp;Services'!D104)</f>
        <v/>
      </c>
      <c r="J90" s="2" t="str">
        <f>IF('H.W&amp;S.W&amp;Services'!E104=0,"",'H.W&amp;S.W&amp;Services'!E104)</f>
        <v/>
      </c>
    </row>
    <row r="91" spans="1:10" x14ac:dyDescent="0.2">
      <c r="A91" s="2" t="str">
        <f t="shared" ca="1" si="1"/>
        <v/>
      </c>
      <c r="B91" s="2" t="str">
        <f>IF('H.W&amp;S.W&amp;Services'!C105=0,"",'H.W&amp;S.W&amp;Services'!C105)</f>
        <v/>
      </c>
      <c r="C91" s="2" t="str">
        <f>IF('H.W&amp;S.W&amp;Services'!C105=0,"",'H.W&amp;S.W&amp;Services'!C105)</f>
        <v/>
      </c>
      <c r="D91" s="2" t="str">
        <f>IF('H.W&amp;S.W&amp;Services'!H105=0,"",'H.W&amp;S.W&amp;Services'!H105)</f>
        <v/>
      </c>
      <c r="E91" s="2" t="str">
        <f>IF('H.W&amp;S.W&amp;Services'!I105=0,"",'H.W&amp;S.W&amp;Services'!I105)</f>
        <v/>
      </c>
      <c r="F91" s="3" t="str">
        <f>IF('H.W&amp;S.W&amp;Services'!J105=0,"",'H.W&amp;S.W&amp;Services'!J105)</f>
        <v/>
      </c>
      <c r="G91" s="4" t="str">
        <f>IF('H.W&amp;S.W&amp;Services'!O105=0,"",'H.W&amp;S.W&amp;Services'!O105)</f>
        <v/>
      </c>
      <c r="H91" s="2" t="str">
        <f>IF('H.W&amp;S.W&amp;Services'!B105=0,"",'H.W&amp;S.W&amp;Services'!B105) &amp; IF('H.W&amp;S.W&amp;Services'!F105=0,""," / "&amp;'H.W&amp;S.W&amp;Services'!F105) &amp; IF('H.W&amp;S.W&amp;Services'!G105=0,""," / "&amp;'H.W&amp;S.W&amp;Services'!G105)</f>
        <v/>
      </c>
      <c r="I91" t="str">
        <f>IF('H.W&amp;S.W&amp;Services'!D105=0,"",'H.W&amp;S.W&amp;Services'!D105)</f>
        <v/>
      </c>
      <c r="J91" s="2" t="str">
        <f>IF('H.W&amp;S.W&amp;Services'!E105=0,"",'H.W&amp;S.W&amp;Services'!E105)</f>
        <v/>
      </c>
    </row>
    <row r="92" spans="1:10" x14ac:dyDescent="0.2">
      <c r="A92" s="2" t="str">
        <f t="shared" ca="1" si="1"/>
        <v/>
      </c>
      <c r="B92" s="2" t="str">
        <f>IF('H.W&amp;S.W&amp;Services'!C106=0,"",'H.W&amp;S.W&amp;Services'!C106)</f>
        <v/>
      </c>
      <c r="C92" s="2" t="str">
        <f>IF('H.W&amp;S.W&amp;Services'!C106=0,"",'H.W&amp;S.W&amp;Services'!C106)</f>
        <v/>
      </c>
      <c r="D92" s="2" t="str">
        <f>IF('H.W&amp;S.W&amp;Services'!H106=0,"",'H.W&amp;S.W&amp;Services'!H106)</f>
        <v/>
      </c>
      <c r="E92" s="2" t="str">
        <f>IF('H.W&amp;S.W&amp;Services'!I106=0,"",'H.W&amp;S.W&amp;Services'!I106)</f>
        <v/>
      </c>
      <c r="F92" s="3" t="str">
        <f>IF('H.W&amp;S.W&amp;Services'!J106=0,"",'H.W&amp;S.W&amp;Services'!J106)</f>
        <v/>
      </c>
      <c r="G92" s="4" t="str">
        <f>IF('H.W&amp;S.W&amp;Services'!O106=0,"",'H.W&amp;S.W&amp;Services'!O106)</f>
        <v/>
      </c>
      <c r="H92" s="2" t="str">
        <f>IF('H.W&amp;S.W&amp;Services'!B106=0,"",'H.W&amp;S.W&amp;Services'!B106) &amp; IF('H.W&amp;S.W&amp;Services'!F106=0,""," / "&amp;'H.W&amp;S.W&amp;Services'!F106) &amp; IF('H.W&amp;S.W&amp;Services'!G106=0,""," / "&amp;'H.W&amp;S.W&amp;Services'!G106)</f>
        <v/>
      </c>
      <c r="I92" t="str">
        <f>IF('H.W&amp;S.W&amp;Services'!D106=0,"",'H.W&amp;S.W&amp;Services'!D106)</f>
        <v/>
      </c>
      <c r="J92" s="2" t="str">
        <f>IF('H.W&amp;S.W&amp;Services'!E106=0,"",'H.W&amp;S.W&amp;Services'!E106)</f>
        <v/>
      </c>
    </row>
    <row r="93" spans="1:10" x14ac:dyDescent="0.2">
      <c r="A93" s="2" t="str">
        <f t="shared" ca="1" si="1"/>
        <v/>
      </c>
      <c r="B93" s="2" t="str">
        <f>IF('H.W&amp;S.W&amp;Services'!C107=0,"",'H.W&amp;S.W&amp;Services'!C107)</f>
        <v/>
      </c>
      <c r="C93" s="2" t="str">
        <f>IF('H.W&amp;S.W&amp;Services'!C107=0,"",'H.W&amp;S.W&amp;Services'!C107)</f>
        <v/>
      </c>
      <c r="D93" s="2" t="str">
        <f>IF('H.W&amp;S.W&amp;Services'!H107=0,"",'H.W&amp;S.W&amp;Services'!H107)</f>
        <v/>
      </c>
      <c r="E93" s="2" t="str">
        <f>IF('H.W&amp;S.W&amp;Services'!I107=0,"",'H.W&amp;S.W&amp;Services'!I107)</f>
        <v/>
      </c>
      <c r="F93" s="3" t="str">
        <f>IF('H.W&amp;S.W&amp;Services'!J107=0,"",'H.W&amp;S.W&amp;Services'!J107)</f>
        <v/>
      </c>
      <c r="G93" s="4" t="str">
        <f>IF('H.W&amp;S.W&amp;Services'!O107=0,"",'H.W&amp;S.W&amp;Services'!O107)</f>
        <v/>
      </c>
      <c r="H93" s="2" t="str">
        <f>IF('H.W&amp;S.W&amp;Services'!B107=0,"",'H.W&amp;S.W&amp;Services'!B107) &amp; IF('H.W&amp;S.W&amp;Services'!F107=0,""," / "&amp;'H.W&amp;S.W&amp;Services'!F107) &amp; IF('H.W&amp;S.W&amp;Services'!G107=0,""," / "&amp;'H.W&amp;S.W&amp;Services'!G107)</f>
        <v/>
      </c>
      <c r="I93" t="str">
        <f>IF('H.W&amp;S.W&amp;Services'!D107=0,"",'H.W&amp;S.W&amp;Services'!D107)</f>
        <v/>
      </c>
      <c r="J93" s="2" t="str">
        <f>IF('H.W&amp;S.W&amp;Services'!E107=0,"",'H.W&amp;S.W&amp;Services'!E107)</f>
        <v/>
      </c>
    </row>
    <row r="94" spans="1:10" x14ac:dyDescent="0.2">
      <c r="A94" s="2" t="str">
        <f t="shared" ca="1" si="1"/>
        <v/>
      </c>
      <c r="B94" s="2" t="str">
        <f>IF('H.W&amp;S.W&amp;Services'!C108=0,"",'H.W&amp;S.W&amp;Services'!C108)</f>
        <v/>
      </c>
      <c r="C94" s="2" t="str">
        <f>IF('H.W&amp;S.W&amp;Services'!C108=0,"",'H.W&amp;S.W&amp;Services'!C108)</f>
        <v/>
      </c>
      <c r="D94" s="2" t="str">
        <f>IF('H.W&amp;S.W&amp;Services'!H108=0,"",'H.W&amp;S.W&amp;Services'!H108)</f>
        <v/>
      </c>
      <c r="E94" s="2" t="str">
        <f>IF('H.W&amp;S.W&amp;Services'!I108=0,"",'H.W&amp;S.W&amp;Services'!I108)</f>
        <v/>
      </c>
      <c r="F94" s="3" t="str">
        <f>IF('H.W&amp;S.W&amp;Services'!J108=0,"",'H.W&amp;S.W&amp;Services'!J108)</f>
        <v/>
      </c>
      <c r="G94" s="4" t="str">
        <f>IF('H.W&amp;S.W&amp;Services'!O108=0,"",'H.W&amp;S.W&amp;Services'!O108)</f>
        <v/>
      </c>
      <c r="H94" s="2" t="str">
        <f>IF('H.W&amp;S.W&amp;Services'!B108=0,"",'H.W&amp;S.W&amp;Services'!B108) &amp; IF('H.W&amp;S.W&amp;Services'!F108=0,""," / "&amp;'H.W&amp;S.W&amp;Services'!F108) &amp; IF('H.W&amp;S.W&amp;Services'!G108=0,""," / "&amp;'H.W&amp;S.W&amp;Services'!G108)</f>
        <v/>
      </c>
      <c r="I94" t="str">
        <f>IF('H.W&amp;S.W&amp;Services'!D108=0,"",'H.W&amp;S.W&amp;Services'!D108)</f>
        <v/>
      </c>
      <c r="J94" s="2" t="str">
        <f>IF('H.W&amp;S.W&amp;Services'!E108=0,"",'H.W&amp;S.W&amp;Services'!E108)</f>
        <v/>
      </c>
    </row>
    <row r="95" spans="1:10" x14ac:dyDescent="0.2">
      <c r="A95" s="2" t="str">
        <f t="shared" ca="1" si="1"/>
        <v/>
      </c>
      <c r="B95" s="2" t="str">
        <f>IF('H.W&amp;S.W&amp;Services'!C109=0,"",'H.W&amp;S.W&amp;Services'!C109)</f>
        <v/>
      </c>
      <c r="C95" s="2" t="str">
        <f>IF('H.W&amp;S.W&amp;Services'!C109=0,"",'H.W&amp;S.W&amp;Services'!C109)</f>
        <v/>
      </c>
      <c r="D95" s="2" t="str">
        <f>IF('H.W&amp;S.W&amp;Services'!H109=0,"",'H.W&amp;S.W&amp;Services'!H109)</f>
        <v/>
      </c>
      <c r="E95" s="2" t="str">
        <f>IF('H.W&amp;S.W&amp;Services'!I109=0,"",'H.W&amp;S.W&amp;Services'!I109)</f>
        <v/>
      </c>
      <c r="F95" s="3" t="str">
        <f>IF('H.W&amp;S.W&amp;Services'!J109=0,"",'H.W&amp;S.W&amp;Services'!J109)</f>
        <v/>
      </c>
      <c r="G95" s="4" t="str">
        <f>IF('H.W&amp;S.W&amp;Services'!O109=0,"",'H.W&amp;S.W&amp;Services'!O109)</f>
        <v/>
      </c>
      <c r="H95" s="2" t="str">
        <f>IF('H.W&amp;S.W&amp;Services'!B109=0,"",'H.W&amp;S.W&amp;Services'!B109) &amp; IF('H.W&amp;S.W&amp;Services'!F109=0,""," / "&amp;'H.W&amp;S.W&amp;Services'!F109) &amp; IF('H.W&amp;S.W&amp;Services'!G109=0,""," / "&amp;'H.W&amp;S.W&amp;Services'!G109)</f>
        <v/>
      </c>
      <c r="I95" t="str">
        <f>IF('H.W&amp;S.W&amp;Services'!D109=0,"",'H.W&amp;S.W&amp;Services'!D109)</f>
        <v/>
      </c>
      <c r="J95" s="2" t="str">
        <f>IF('H.W&amp;S.W&amp;Services'!E109=0,"",'H.W&amp;S.W&amp;Services'!E109)</f>
        <v/>
      </c>
    </row>
    <row r="96" spans="1:10" x14ac:dyDescent="0.2">
      <c r="A96" s="2" t="str">
        <f t="shared" ca="1" si="1"/>
        <v/>
      </c>
      <c r="B96" s="2" t="str">
        <f>IF('H.W&amp;S.W&amp;Services'!C110=0,"",'H.W&amp;S.W&amp;Services'!C110)</f>
        <v/>
      </c>
      <c r="C96" s="2" t="str">
        <f>IF('H.W&amp;S.W&amp;Services'!C110=0,"",'H.W&amp;S.W&amp;Services'!C110)</f>
        <v/>
      </c>
      <c r="D96" s="2" t="str">
        <f>IF('H.W&amp;S.W&amp;Services'!H110=0,"",'H.W&amp;S.W&amp;Services'!H110)</f>
        <v/>
      </c>
      <c r="E96" s="2" t="str">
        <f>IF('H.W&amp;S.W&amp;Services'!I110=0,"",'H.W&amp;S.W&amp;Services'!I110)</f>
        <v/>
      </c>
      <c r="F96" s="3" t="str">
        <f>IF('H.W&amp;S.W&amp;Services'!J110=0,"",'H.W&amp;S.W&amp;Services'!J110)</f>
        <v/>
      </c>
      <c r="G96" s="4" t="str">
        <f>IF('H.W&amp;S.W&amp;Services'!O110=0,"",'H.W&amp;S.W&amp;Services'!O110)</f>
        <v/>
      </c>
      <c r="H96" s="2" t="str">
        <f>IF('H.W&amp;S.W&amp;Services'!B110=0,"",'H.W&amp;S.W&amp;Services'!B110) &amp; IF('H.W&amp;S.W&amp;Services'!F110=0,""," / "&amp;'H.W&amp;S.W&amp;Services'!F110) &amp; IF('H.W&amp;S.W&amp;Services'!G110=0,""," / "&amp;'H.W&amp;S.W&amp;Services'!G110)</f>
        <v/>
      </c>
      <c r="I96" t="str">
        <f>IF('H.W&amp;S.W&amp;Services'!D110=0,"",'H.W&amp;S.W&amp;Services'!D110)</f>
        <v/>
      </c>
      <c r="J96" s="2" t="str">
        <f>IF('H.W&amp;S.W&amp;Services'!E110=0,"",'H.W&amp;S.W&amp;Services'!E110)</f>
        <v/>
      </c>
    </row>
    <row r="97" spans="1:10" x14ac:dyDescent="0.2">
      <c r="A97" s="2" t="str">
        <f t="shared" ca="1" si="1"/>
        <v/>
      </c>
      <c r="B97" s="2" t="str">
        <f>IF('H.W&amp;S.W&amp;Services'!C111=0,"",'H.W&amp;S.W&amp;Services'!C111)</f>
        <v/>
      </c>
      <c r="C97" s="2" t="str">
        <f>IF('H.W&amp;S.W&amp;Services'!C111=0,"",'H.W&amp;S.W&amp;Services'!C111)</f>
        <v/>
      </c>
      <c r="D97" s="2" t="str">
        <f>IF('H.W&amp;S.W&amp;Services'!H111=0,"",'H.W&amp;S.W&amp;Services'!H111)</f>
        <v/>
      </c>
      <c r="E97" s="2" t="str">
        <f>IF('H.W&amp;S.W&amp;Services'!I111=0,"",'H.W&amp;S.W&amp;Services'!I111)</f>
        <v/>
      </c>
      <c r="F97" s="3" t="str">
        <f>IF('H.W&amp;S.W&amp;Services'!J111=0,"",'H.W&amp;S.W&amp;Services'!J111)</f>
        <v/>
      </c>
      <c r="G97" s="4" t="str">
        <f>IF('H.W&amp;S.W&amp;Services'!O111=0,"",'H.W&amp;S.W&amp;Services'!O111)</f>
        <v/>
      </c>
      <c r="H97" s="2" t="str">
        <f>IF('H.W&amp;S.W&amp;Services'!B111=0,"",'H.W&amp;S.W&amp;Services'!B111) &amp; IF('H.W&amp;S.W&amp;Services'!F111=0,""," / "&amp;'H.W&amp;S.W&amp;Services'!F111) &amp; IF('H.W&amp;S.W&amp;Services'!G111=0,""," / "&amp;'H.W&amp;S.W&amp;Services'!G111)</f>
        <v/>
      </c>
      <c r="I97" t="str">
        <f>IF('H.W&amp;S.W&amp;Services'!D111=0,"",'H.W&amp;S.W&amp;Services'!D111)</f>
        <v/>
      </c>
      <c r="J97" s="2" t="str">
        <f>IF('H.W&amp;S.W&amp;Services'!E111=0,"",'H.W&amp;S.W&amp;Services'!E111)</f>
        <v/>
      </c>
    </row>
    <row r="98" spans="1:10" x14ac:dyDescent="0.2">
      <c r="A98" s="2" t="str">
        <f t="shared" ca="1" si="1"/>
        <v/>
      </c>
      <c r="B98" s="2" t="str">
        <f>IF('H.W&amp;S.W&amp;Services'!C112=0,"",'H.W&amp;S.W&amp;Services'!C112)</f>
        <v/>
      </c>
      <c r="C98" s="2" t="str">
        <f>IF('H.W&amp;S.W&amp;Services'!C112=0,"",'H.W&amp;S.W&amp;Services'!C112)</f>
        <v/>
      </c>
      <c r="D98" s="2" t="str">
        <f>IF('H.W&amp;S.W&amp;Services'!H112=0,"",'H.W&amp;S.W&amp;Services'!H112)</f>
        <v/>
      </c>
      <c r="E98" s="2" t="str">
        <f>IF('H.W&amp;S.W&amp;Services'!I112=0,"",'H.W&amp;S.W&amp;Services'!I112)</f>
        <v/>
      </c>
      <c r="F98" s="3" t="str">
        <f>IF('H.W&amp;S.W&amp;Services'!J112=0,"",'H.W&amp;S.W&amp;Services'!J112)</f>
        <v/>
      </c>
      <c r="G98" s="4" t="str">
        <f>IF('H.W&amp;S.W&amp;Services'!O112=0,"",'H.W&amp;S.W&amp;Services'!O112)</f>
        <v/>
      </c>
      <c r="H98" s="2" t="str">
        <f>IF('H.W&amp;S.W&amp;Services'!B112=0,"",'H.W&amp;S.W&amp;Services'!B112) &amp; IF('H.W&amp;S.W&amp;Services'!F112=0,""," / "&amp;'H.W&amp;S.W&amp;Services'!F112) &amp; IF('H.W&amp;S.W&amp;Services'!G112=0,""," / "&amp;'H.W&amp;S.W&amp;Services'!G112)</f>
        <v/>
      </c>
      <c r="I98" t="str">
        <f>IF('H.W&amp;S.W&amp;Services'!D112=0,"",'H.W&amp;S.W&amp;Services'!D112)</f>
        <v/>
      </c>
      <c r="J98" s="2" t="str">
        <f>IF('H.W&amp;S.W&amp;Services'!E112=0,"",'H.W&amp;S.W&amp;Services'!E112)</f>
        <v/>
      </c>
    </row>
    <row r="99" spans="1:10" x14ac:dyDescent="0.2">
      <c r="A99" s="2" t="str">
        <f t="shared" ca="1" si="1"/>
        <v/>
      </c>
      <c r="B99" s="2" t="str">
        <f>IF('H.W&amp;S.W&amp;Services'!C113=0,"",'H.W&amp;S.W&amp;Services'!C113)</f>
        <v/>
      </c>
      <c r="C99" s="2" t="str">
        <f>IF('H.W&amp;S.W&amp;Services'!C113=0,"",'H.W&amp;S.W&amp;Services'!C113)</f>
        <v/>
      </c>
      <c r="D99" s="2" t="str">
        <f>IF('H.W&amp;S.W&amp;Services'!H113=0,"",'H.W&amp;S.W&amp;Services'!H113)</f>
        <v/>
      </c>
      <c r="E99" s="2" t="str">
        <f>IF('H.W&amp;S.W&amp;Services'!I113=0,"",'H.W&amp;S.W&amp;Services'!I113)</f>
        <v/>
      </c>
      <c r="F99" s="3" t="str">
        <f>IF('H.W&amp;S.W&amp;Services'!J113=0,"",'H.W&amp;S.W&amp;Services'!J113)</f>
        <v/>
      </c>
      <c r="G99" s="4" t="str">
        <f>IF('H.W&amp;S.W&amp;Services'!O113=0,"",'H.W&amp;S.W&amp;Services'!O113)</f>
        <v/>
      </c>
      <c r="H99" s="2" t="str">
        <f>IF('H.W&amp;S.W&amp;Services'!B113=0,"",'H.W&amp;S.W&amp;Services'!B113) &amp; IF('H.W&amp;S.W&amp;Services'!F113=0,""," / "&amp;'H.W&amp;S.W&amp;Services'!F113) &amp; IF('H.W&amp;S.W&amp;Services'!G113=0,""," / "&amp;'H.W&amp;S.W&amp;Services'!G113)</f>
        <v/>
      </c>
      <c r="I99" t="str">
        <f>IF('H.W&amp;S.W&amp;Services'!D113=0,"",'H.W&amp;S.W&amp;Services'!D113)</f>
        <v/>
      </c>
      <c r="J99" s="2" t="str">
        <f>IF('H.W&amp;S.W&amp;Services'!E113=0,"",'H.W&amp;S.W&amp;Services'!E113)</f>
        <v/>
      </c>
    </row>
    <row r="100" spans="1:10" x14ac:dyDescent="0.2">
      <c r="A100" s="2" t="str">
        <f t="shared" ca="1" si="1"/>
        <v/>
      </c>
      <c r="B100" s="2" t="str">
        <f>IF('H.W&amp;S.W&amp;Services'!C114=0,"",'H.W&amp;S.W&amp;Services'!C114)</f>
        <v/>
      </c>
      <c r="C100" s="2" t="str">
        <f>IF('H.W&amp;S.W&amp;Services'!C114=0,"",'H.W&amp;S.W&amp;Services'!C114)</f>
        <v/>
      </c>
      <c r="D100" s="2" t="str">
        <f>IF('H.W&amp;S.W&amp;Services'!H114=0,"",'H.W&amp;S.W&amp;Services'!H114)</f>
        <v/>
      </c>
      <c r="E100" s="2" t="str">
        <f>IF('H.W&amp;S.W&amp;Services'!I114=0,"",'H.W&amp;S.W&amp;Services'!I114)</f>
        <v/>
      </c>
      <c r="F100" s="3" t="str">
        <f>IF('H.W&amp;S.W&amp;Services'!J114=0,"",'H.W&amp;S.W&amp;Services'!J114)</f>
        <v/>
      </c>
      <c r="G100" s="4" t="str">
        <f>IF('H.W&amp;S.W&amp;Services'!O114=0,"",'H.W&amp;S.W&amp;Services'!O114)</f>
        <v/>
      </c>
      <c r="H100" s="2" t="str">
        <f>IF('H.W&amp;S.W&amp;Services'!B114=0,"",'H.W&amp;S.W&amp;Services'!B114) &amp; IF('H.W&amp;S.W&amp;Services'!F114=0,""," / "&amp;'H.W&amp;S.W&amp;Services'!F114) &amp; IF('H.W&amp;S.W&amp;Services'!G114=0,""," / "&amp;'H.W&amp;S.W&amp;Services'!G114)</f>
        <v/>
      </c>
      <c r="I100" t="str">
        <f>IF('H.W&amp;S.W&amp;Services'!D114=0,"",'H.W&amp;S.W&amp;Services'!D114)</f>
        <v/>
      </c>
      <c r="J100" s="2" t="str">
        <f>IF('H.W&amp;S.W&amp;Services'!E114=0,"",'H.W&amp;S.W&amp;Services'!E114)</f>
        <v/>
      </c>
    </row>
    <row r="101" spans="1:10" x14ac:dyDescent="0.2">
      <c r="A101" s="2" t="str">
        <f t="shared" ca="1" si="1"/>
        <v/>
      </c>
      <c r="B101" s="2" t="str">
        <f>IF('H.W&amp;S.W&amp;Services'!C115=0,"",'H.W&amp;S.W&amp;Services'!C115)</f>
        <v/>
      </c>
      <c r="C101" s="2" t="str">
        <f>IF('H.W&amp;S.W&amp;Services'!C115=0,"",'H.W&amp;S.W&amp;Services'!C115)</f>
        <v/>
      </c>
      <c r="D101" s="2" t="str">
        <f>IF('H.W&amp;S.W&amp;Services'!H115=0,"",'H.W&amp;S.W&amp;Services'!H115)</f>
        <v/>
      </c>
      <c r="E101" s="2" t="str">
        <f>IF('H.W&amp;S.W&amp;Services'!I115=0,"",'H.W&amp;S.W&amp;Services'!I115)</f>
        <v/>
      </c>
      <c r="F101" s="3" t="str">
        <f>IF('H.W&amp;S.W&amp;Services'!J115=0,"",'H.W&amp;S.W&amp;Services'!J115)</f>
        <v/>
      </c>
      <c r="G101" s="4" t="str">
        <f>IF('H.W&amp;S.W&amp;Services'!O115=0,"",'H.W&amp;S.W&amp;Services'!O115)</f>
        <v/>
      </c>
      <c r="H101" s="2" t="str">
        <f>IF('H.W&amp;S.W&amp;Services'!B115=0,"",'H.W&amp;S.W&amp;Services'!B115) &amp; IF('H.W&amp;S.W&amp;Services'!F115=0,""," / "&amp;'H.W&amp;S.W&amp;Services'!F115) &amp; IF('H.W&amp;S.W&amp;Services'!G115=0,""," / "&amp;'H.W&amp;S.W&amp;Services'!G115)</f>
        <v/>
      </c>
      <c r="I101" t="str">
        <f>IF('H.W&amp;S.W&amp;Services'!D115=0,"",'H.W&amp;S.W&amp;Services'!D115)</f>
        <v/>
      </c>
      <c r="J101" s="2" t="str">
        <f>IF('H.W&amp;S.W&amp;Services'!E115=0,"",'H.W&amp;S.W&amp;Services'!E115)</f>
        <v/>
      </c>
    </row>
    <row r="102" spans="1:10" x14ac:dyDescent="0.2">
      <c r="A102" s="2" t="str">
        <f t="shared" ca="1" si="1"/>
        <v/>
      </c>
      <c r="B102" s="2" t="str">
        <f>IF('H.W&amp;S.W&amp;Services'!C116=0,"",'H.W&amp;S.W&amp;Services'!C116)</f>
        <v/>
      </c>
      <c r="C102" s="2" t="str">
        <f>IF('H.W&amp;S.W&amp;Services'!C116=0,"",'H.W&amp;S.W&amp;Services'!C116)</f>
        <v/>
      </c>
      <c r="D102" s="2" t="str">
        <f>IF('H.W&amp;S.W&amp;Services'!H116=0,"",'H.W&amp;S.W&amp;Services'!H116)</f>
        <v/>
      </c>
      <c r="E102" s="2" t="str">
        <f>IF('H.W&amp;S.W&amp;Services'!I116=0,"",'H.W&amp;S.W&amp;Services'!I116)</f>
        <v/>
      </c>
      <c r="F102" s="3" t="str">
        <f>IF('H.W&amp;S.W&amp;Services'!J116=0,"",'H.W&amp;S.W&amp;Services'!J116)</f>
        <v/>
      </c>
      <c r="G102" s="4" t="str">
        <f>IF('H.W&amp;S.W&amp;Services'!O116=0,"",'H.W&amp;S.W&amp;Services'!O116)</f>
        <v/>
      </c>
      <c r="H102" s="2" t="str">
        <f>IF('H.W&amp;S.W&amp;Services'!B116=0,"",'H.W&amp;S.W&amp;Services'!B116) &amp; IF('H.W&amp;S.W&amp;Services'!F116=0,""," / "&amp;'H.W&amp;S.W&amp;Services'!F116) &amp; IF('H.W&amp;S.W&amp;Services'!G116=0,""," / "&amp;'H.W&amp;S.W&amp;Services'!G116)</f>
        <v/>
      </c>
      <c r="I102" t="str">
        <f>IF('H.W&amp;S.W&amp;Services'!D116=0,"",'H.W&amp;S.W&amp;Services'!D116)</f>
        <v/>
      </c>
      <c r="J102" s="2" t="str">
        <f>IF('H.W&amp;S.W&amp;Services'!E116=0,"",'H.W&amp;S.W&amp;Services'!E116)</f>
        <v/>
      </c>
    </row>
    <row r="103" spans="1:10" x14ac:dyDescent="0.2">
      <c r="A103" s="2" t="str">
        <f t="shared" ca="1" si="1"/>
        <v/>
      </c>
      <c r="B103" s="2" t="str">
        <f>IF('H.W&amp;S.W&amp;Services'!C117=0,"",'H.W&amp;S.W&amp;Services'!C117)</f>
        <v/>
      </c>
      <c r="C103" s="2" t="str">
        <f>IF('H.W&amp;S.W&amp;Services'!C117=0,"",'H.W&amp;S.W&amp;Services'!C117)</f>
        <v/>
      </c>
      <c r="D103" s="2" t="str">
        <f>IF('H.W&amp;S.W&amp;Services'!H117=0,"",'H.W&amp;S.W&amp;Services'!H117)</f>
        <v/>
      </c>
      <c r="E103" s="2" t="str">
        <f>IF('H.W&amp;S.W&amp;Services'!I117=0,"",'H.W&amp;S.W&amp;Services'!I117)</f>
        <v/>
      </c>
      <c r="F103" s="3" t="str">
        <f>IF('H.W&amp;S.W&amp;Services'!J117=0,"",'H.W&amp;S.W&amp;Services'!J117)</f>
        <v/>
      </c>
      <c r="G103" s="4" t="str">
        <f>IF('H.W&amp;S.W&amp;Services'!O117=0,"",'H.W&amp;S.W&amp;Services'!O117)</f>
        <v/>
      </c>
      <c r="H103" s="2" t="str">
        <f>IF('H.W&amp;S.W&amp;Services'!B117=0,"",'H.W&amp;S.W&amp;Services'!B117) &amp; IF('H.W&amp;S.W&amp;Services'!F117=0,""," / "&amp;'H.W&amp;S.W&amp;Services'!F117) &amp; IF('H.W&amp;S.W&amp;Services'!G117=0,""," / "&amp;'H.W&amp;S.W&amp;Services'!G117)</f>
        <v/>
      </c>
      <c r="I103" t="str">
        <f>IF('H.W&amp;S.W&amp;Services'!D117=0,"",'H.W&amp;S.W&amp;Services'!D117)</f>
        <v/>
      </c>
      <c r="J103" s="2" t="str">
        <f>IF('H.W&amp;S.W&amp;Services'!E117=0,"",'H.W&amp;S.W&amp;Services'!E117)</f>
        <v/>
      </c>
    </row>
    <row r="104" spans="1:10" x14ac:dyDescent="0.2">
      <c r="A104" s="2" t="str">
        <f t="shared" ca="1" si="1"/>
        <v/>
      </c>
      <c r="B104" s="2" t="str">
        <f>IF('H.W&amp;S.W&amp;Services'!C118=0,"",'H.W&amp;S.W&amp;Services'!C118)</f>
        <v/>
      </c>
      <c r="C104" s="2" t="str">
        <f>IF('H.W&amp;S.W&amp;Services'!C118=0,"",'H.W&amp;S.W&amp;Services'!C118)</f>
        <v/>
      </c>
      <c r="D104" s="2" t="str">
        <f>IF('H.W&amp;S.W&amp;Services'!H118=0,"",'H.W&amp;S.W&amp;Services'!H118)</f>
        <v/>
      </c>
      <c r="E104" s="2" t="str">
        <f>IF('H.W&amp;S.W&amp;Services'!I118=0,"",'H.W&amp;S.W&amp;Services'!I118)</f>
        <v/>
      </c>
      <c r="F104" s="3" t="str">
        <f>IF('H.W&amp;S.W&amp;Services'!J118=0,"",'H.W&amp;S.W&amp;Services'!J118)</f>
        <v/>
      </c>
      <c r="G104" s="4" t="str">
        <f>IF('H.W&amp;S.W&amp;Services'!O118=0,"",'H.W&amp;S.W&amp;Services'!O118)</f>
        <v/>
      </c>
      <c r="H104" s="2" t="str">
        <f>IF('H.W&amp;S.W&amp;Services'!B118=0,"",'H.W&amp;S.W&amp;Services'!B118) &amp; IF('H.W&amp;S.W&amp;Services'!F118=0,""," / "&amp;'H.W&amp;S.W&amp;Services'!F118) &amp; IF('H.W&amp;S.W&amp;Services'!G118=0,""," / "&amp;'H.W&amp;S.W&amp;Services'!G118)</f>
        <v/>
      </c>
      <c r="I104" t="str">
        <f>IF('H.W&amp;S.W&amp;Services'!D118=0,"",'H.W&amp;S.W&amp;Services'!D118)</f>
        <v/>
      </c>
      <c r="J104" s="2" t="str">
        <f>IF('H.W&amp;S.W&amp;Services'!E118=0,"",'H.W&amp;S.W&amp;Services'!E118)</f>
        <v/>
      </c>
    </row>
    <row r="105" spans="1:10" x14ac:dyDescent="0.2">
      <c r="A105" s="2" t="str">
        <f t="shared" ca="1" si="1"/>
        <v/>
      </c>
      <c r="B105" s="2" t="str">
        <f>IF('H.W&amp;S.W&amp;Services'!C119=0,"",'H.W&amp;S.W&amp;Services'!C119)</f>
        <v/>
      </c>
      <c r="C105" s="2" t="str">
        <f>IF('H.W&amp;S.W&amp;Services'!C119=0,"",'H.W&amp;S.W&amp;Services'!C119)</f>
        <v/>
      </c>
      <c r="D105" s="2" t="str">
        <f>IF('H.W&amp;S.W&amp;Services'!H119=0,"",'H.W&amp;S.W&amp;Services'!H119)</f>
        <v/>
      </c>
      <c r="E105" s="2" t="str">
        <f>IF('H.W&amp;S.W&amp;Services'!I119=0,"",'H.W&amp;S.W&amp;Services'!I119)</f>
        <v/>
      </c>
      <c r="F105" s="3" t="str">
        <f>IF('H.W&amp;S.W&amp;Services'!J119=0,"",'H.W&amp;S.W&amp;Services'!J119)</f>
        <v/>
      </c>
      <c r="G105" s="4" t="str">
        <f>IF('H.W&amp;S.W&amp;Services'!O119=0,"",'H.W&amp;S.W&amp;Services'!O119)</f>
        <v/>
      </c>
      <c r="H105" s="2" t="str">
        <f>IF('H.W&amp;S.W&amp;Services'!B119=0,"",'H.W&amp;S.W&amp;Services'!B119) &amp; IF('H.W&amp;S.W&amp;Services'!F119=0,""," / "&amp;'H.W&amp;S.W&amp;Services'!F119) &amp; IF('H.W&amp;S.W&amp;Services'!G119=0,""," / "&amp;'H.W&amp;S.W&amp;Services'!G119)</f>
        <v/>
      </c>
      <c r="I105" t="str">
        <f>IF('H.W&amp;S.W&amp;Services'!D119=0,"",'H.W&amp;S.W&amp;Services'!D119)</f>
        <v/>
      </c>
      <c r="J105" s="2" t="str">
        <f>IF('H.W&amp;S.W&amp;Services'!E119=0,"",'H.W&amp;S.W&amp;Services'!E119)</f>
        <v/>
      </c>
    </row>
    <row r="106" spans="1:10" x14ac:dyDescent="0.2">
      <c r="A106" s="2" t="str">
        <f t="shared" ca="1" si="1"/>
        <v/>
      </c>
      <c r="B106" s="2" t="str">
        <f>IF('H.W&amp;S.W&amp;Services'!C120=0,"",'H.W&amp;S.W&amp;Services'!C120)</f>
        <v/>
      </c>
      <c r="C106" s="2" t="str">
        <f>IF('H.W&amp;S.W&amp;Services'!C120=0,"",'H.W&amp;S.W&amp;Services'!C120)</f>
        <v/>
      </c>
      <c r="D106" s="2" t="str">
        <f>IF('H.W&amp;S.W&amp;Services'!H120=0,"",'H.W&amp;S.W&amp;Services'!H120)</f>
        <v/>
      </c>
      <c r="E106" s="2" t="str">
        <f>IF('H.W&amp;S.W&amp;Services'!I120=0,"",'H.W&amp;S.W&amp;Services'!I120)</f>
        <v/>
      </c>
      <c r="F106" s="3" t="str">
        <f>IF('H.W&amp;S.W&amp;Services'!J120=0,"",'H.W&amp;S.W&amp;Services'!J120)</f>
        <v/>
      </c>
      <c r="G106" s="4" t="str">
        <f>IF('H.W&amp;S.W&amp;Services'!O120=0,"",'H.W&amp;S.W&amp;Services'!O120)</f>
        <v/>
      </c>
      <c r="H106" s="2" t="str">
        <f>IF('H.W&amp;S.W&amp;Services'!B120=0,"",'H.W&amp;S.W&amp;Services'!B120) &amp; IF('H.W&amp;S.W&amp;Services'!F120=0,""," / "&amp;'H.W&amp;S.W&amp;Services'!F120) &amp; IF('H.W&amp;S.W&amp;Services'!G120=0,""," / "&amp;'H.W&amp;S.W&amp;Services'!G120)</f>
        <v/>
      </c>
      <c r="I106" t="str">
        <f>IF('H.W&amp;S.W&amp;Services'!D120=0,"",'H.W&amp;S.W&amp;Services'!D120)</f>
        <v/>
      </c>
      <c r="J106" s="2" t="str">
        <f>IF('H.W&amp;S.W&amp;Services'!E120=0,"",'H.W&amp;S.W&amp;Services'!E120)</f>
        <v/>
      </c>
    </row>
    <row r="107" spans="1:10" x14ac:dyDescent="0.2">
      <c r="A107" s="2" t="str">
        <f t="shared" ca="1" si="1"/>
        <v/>
      </c>
      <c r="B107" s="2" t="str">
        <f>IF('H.W&amp;S.W&amp;Services'!C121=0,"",'H.W&amp;S.W&amp;Services'!C121)</f>
        <v/>
      </c>
      <c r="C107" s="2" t="str">
        <f>IF('H.W&amp;S.W&amp;Services'!C121=0,"",'H.W&amp;S.W&amp;Services'!C121)</f>
        <v/>
      </c>
      <c r="D107" s="2" t="str">
        <f>IF('H.W&amp;S.W&amp;Services'!H121=0,"",'H.W&amp;S.W&amp;Services'!H121)</f>
        <v/>
      </c>
      <c r="E107" s="2" t="str">
        <f>IF('H.W&amp;S.W&amp;Services'!I121=0,"",'H.W&amp;S.W&amp;Services'!I121)</f>
        <v/>
      </c>
      <c r="F107" s="3" t="str">
        <f>IF('H.W&amp;S.W&amp;Services'!J121=0,"",'H.W&amp;S.W&amp;Services'!J121)</f>
        <v/>
      </c>
      <c r="G107" s="4" t="str">
        <f>IF('H.W&amp;S.W&amp;Services'!O121=0,"",'H.W&amp;S.W&amp;Services'!O121)</f>
        <v/>
      </c>
      <c r="H107" s="2" t="str">
        <f>IF('H.W&amp;S.W&amp;Services'!B121=0,"",'H.W&amp;S.W&amp;Services'!B121) &amp; IF('H.W&amp;S.W&amp;Services'!F121=0,""," / "&amp;'H.W&amp;S.W&amp;Services'!F121) &amp; IF('H.W&amp;S.W&amp;Services'!G121=0,""," / "&amp;'H.W&amp;S.W&amp;Services'!G121)</f>
        <v/>
      </c>
      <c r="I107" t="str">
        <f>IF('H.W&amp;S.W&amp;Services'!D121=0,"",'H.W&amp;S.W&amp;Services'!D121)</f>
        <v/>
      </c>
      <c r="J107" s="2" t="str">
        <f>IF('H.W&amp;S.W&amp;Services'!E121=0,"",'H.W&amp;S.W&amp;Services'!E121)</f>
        <v/>
      </c>
    </row>
    <row r="108" spans="1:10" x14ac:dyDescent="0.2">
      <c r="A108" s="2" t="str">
        <f t="shared" ca="1" si="1"/>
        <v/>
      </c>
      <c r="B108" s="2" t="str">
        <f>IF('H.W&amp;S.W&amp;Services'!C122=0,"",'H.W&amp;S.W&amp;Services'!C122)</f>
        <v/>
      </c>
      <c r="C108" s="2" t="str">
        <f>IF('H.W&amp;S.W&amp;Services'!C122=0,"",'H.W&amp;S.W&amp;Services'!C122)</f>
        <v/>
      </c>
      <c r="D108" s="2" t="str">
        <f>IF('H.W&amp;S.W&amp;Services'!H122=0,"",'H.W&amp;S.W&amp;Services'!H122)</f>
        <v/>
      </c>
      <c r="E108" s="2" t="str">
        <f>IF('H.W&amp;S.W&amp;Services'!I122=0,"",'H.W&amp;S.W&amp;Services'!I122)</f>
        <v/>
      </c>
      <c r="F108" s="3" t="str">
        <f>IF('H.W&amp;S.W&amp;Services'!J122=0,"",'H.W&amp;S.W&amp;Services'!J122)</f>
        <v/>
      </c>
      <c r="G108" s="4" t="str">
        <f>IF('H.W&amp;S.W&amp;Services'!O122=0,"",'H.W&amp;S.W&amp;Services'!O122)</f>
        <v/>
      </c>
      <c r="H108" s="2" t="str">
        <f>IF('H.W&amp;S.W&amp;Services'!B122=0,"",'H.W&amp;S.W&amp;Services'!B122) &amp; IF('H.W&amp;S.W&amp;Services'!F122=0,""," / "&amp;'H.W&amp;S.W&amp;Services'!F122) &amp; IF('H.W&amp;S.W&amp;Services'!G122=0,""," / "&amp;'H.W&amp;S.W&amp;Services'!G122)</f>
        <v/>
      </c>
      <c r="I108" t="str">
        <f>IF('H.W&amp;S.W&amp;Services'!D122=0,"",'H.W&amp;S.W&amp;Services'!D122)</f>
        <v/>
      </c>
      <c r="J108" s="2" t="str">
        <f>IF('H.W&amp;S.W&amp;Services'!E122=0,"",'H.W&amp;S.W&amp;Services'!E122)</f>
        <v/>
      </c>
    </row>
    <row r="109" spans="1:10" x14ac:dyDescent="0.2">
      <c r="A109" s="2" t="str">
        <f t="shared" ca="1" si="1"/>
        <v/>
      </c>
      <c r="B109" s="2" t="str">
        <f>IF('H.W&amp;S.W&amp;Services'!C123=0,"",'H.W&amp;S.W&amp;Services'!C123)</f>
        <v/>
      </c>
      <c r="C109" s="2" t="str">
        <f>IF('H.W&amp;S.W&amp;Services'!C123=0,"",'H.W&amp;S.W&amp;Services'!C123)</f>
        <v/>
      </c>
      <c r="D109" s="2" t="str">
        <f>IF('H.W&amp;S.W&amp;Services'!H123=0,"",'H.W&amp;S.W&amp;Services'!H123)</f>
        <v/>
      </c>
      <c r="E109" s="2" t="str">
        <f>IF('H.W&amp;S.W&amp;Services'!I123=0,"",'H.W&amp;S.W&amp;Services'!I123)</f>
        <v/>
      </c>
      <c r="F109" s="3" t="str">
        <f>IF('H.W&amp;S.W&amp;Services'!J123=0,"",'H.W&amp;S.W&amp;Services'!J123)</f>
        <v/>
      </c>
      <c r="G109" s="4" t="str">
        <f>IF('H.W&amp;S.W&amp;Services'!O123=0,"",'H.W&amp;S.W&amp;Services'!O123)</f>
        <v/>
      </c>
      <c r="H109" s="2" t="str">
        <f>IF('H.W&amp;S.W&amp;Services'!B123=0,"",'H.W&amp;S.W&amp;Services'!B123) &amp; IF('H.W&amp;S.W&amp;Services'!F123=0,""," / "&amp;'H.W&amp;S.W&amp;Services'!F123) &amp; IF('H.W&amp;S.W&amp;Services'!G123=0,""," / "&amp;'H.W&amp;S.W&amp;Services'!G123)</f>
        <v/>
      </c>
      <c r="I109" t="str">
        <f>IF('H.W&amp;S.W&amp;Services'!D123=0,"",'H.W&amp;S.W&amp;Services'!D123)</f>
        <v/>
      </c>
      <c r="J109" s="2" t="str">
        <f>IF('H.W&amp;S.W&amp;Services'!E123=0,"",'H.W&amp;S.W&amp;Services'!E123)</f>
        <v/>
      </c>
    </row>
    <row r="110" spans="1:10" x14ac:dyDescent="0.2">
      <c r="A110" s="2" t="str">
        <f t="shared" ca="1" si="1"/>
        <v/>
      </c>
      <c r="B110" s="2" t="str">
        <f>IF('H.W&amp;S.W&amp;Services'!C124=0,"",'H.W&amp;S.W&amp;Services'!C124)</f>
        <v/>
      </c>
      <c r="C110" s="2" t="str">
        <f>IF('H.W&amp;S.W&amp;Services'!C124=0,"",'H.W&amp;S.W&amp;Services'!C124)</f>
        <v/>
      </c>
      <c r="D110" s="2" t="str">
        <f>IF('H.W&amp;S.W&amp;Services'!H124=0,"",'H.W&amp;S.W&amp;Services'!H124)</f>
        <v/>
      </c>
      <c r="E110" s="2" t="str">
        <f>IF('H.W&amp;S.W&amp;Services'!I124=0,"",'H.W&amp;S.W&amp;Services'!I124)</f>
        <v/>
      </c>
      <c r="F110" s="3" t="str">
        <f>IF('H.W&amp;S.W&amp;Services'!J124=0,"",'H.W&amp;S.W&amp;Services'!J124)</f>
        <v/>
      </c>
      <c r="G110" s="4" t="str">
        <f>IF('H.W&amp;S.W&amp;Services'!O124=0,"",'H.W&amp;S.W&amp;Services'!O124)</f>
        <v/>
      </c>
      <c r="H110" s="2" t="str">
        <f>IF('H.W&amp;S.W&amp;Services'!B124=0,"",'H.W&amp;S.W&amp;Services'!B124) &amp; IF('H.W&amp;S.W&amp;Services'!F124=0,""," / "&amp;'H.W&amp;S.W&amp;Services'!F124) &amp; IF('H.W&amp;S.W&amp;Services'!G124=0,""," / "&amp;'H.W&amp;S.W&amp;Services'!G124)</f>
        <v/>
      </c>
      <c r="I110" t="str">
        <f>IF('H.W&amp;S.W&amp;Services'!D124=0,"",'H.W&amp;S.W&amp;Services'!D124)</f>
        <v/>
      </c>
      <c r="J110" s="2" t="str">
        <f>IF('H.W&amp;S.W&amp;Services'!E124=0,"",'H.W&amp;S.W&amp;Services'!E124)</f>
        <v/>
      </c>
    </row>
    <row r="111" spans="1:10" x14ac:dyDescent="0.2">
      <c r="A111" s="2" t="str">
        <f t="shared" ca="1" si="1"/>
        <v/>
      </c>
      <c r="B111" s="2" t="str">
        <f>IF('H.W&amp;S.W&amp;Services'!C125=0,"",'H.W&amp;S.W&amp;Services'!C125)</f>
        <v/>
      </c>
      <c r="C111" s="2" t="str">
        <f>IF('H.W&amp;S.W&amp;Services'!C125=0,"",'H.W&amp;S.W&amp;Services'!C125)</f>
        <v/>
      </c>
      <c r="D111" s="2" t="str">
        <f>IF('H.W&amp;S.W&amp;Services'!H125=0,"",'H.W&amp;S.W&amp;Services'!H125)</f>
        <v/>
      </c>
      <c r="E111" s="2" t="str">
        <f>IF('H.W&amp;S.W&amp;Services'!I125=0,"",'H.W&amp;S.W&amp;Services'!I125)</f>
        <v/>
      </c>
      <c r="F111" s="3" t="str">
        <f>IF('H.W&amp;S.W&amp;Services'!J125=0,"",'H.W&amp;S.W&amp;Services'!J125)</f>
        <v/>
      </c>
      <c r="G111" s="4" t="str">
        <f>IF('H.W&amp;S.W&amp;Services'!O125=0,"",'H.W&amp;S.W&amp;Services'!O125)</f>
        <v/>
      </c>
      <c r="H111" s="2" t="str">
        <f>IF('H.W&amp;S.W&amp;Services'!B125=0,"",'H.W&amp;S.W&amp;Services'!B125) &amp; IF('H.W&amp;S.W&amp;Services'!F125=0,""," / "&amp;'H.W&amp;S.W&amp;Services'!F125) &amp; IF('H.W&amp;S.W&amp;Services'!G125=0,""," / "&amp;'H.W&amp;S.W&amp;Services'!G125)</f>
        <v/>
      </c>
      <c r="I111" t="str">
        <f>IF('H.W&amp;S.W&amp;Services'!D125=0,"",'H.W&amp;S.W&amp;Services'!D125)</f>
        <v/>
      </c>
      <c r="J111" s="2" t="str">
        <f>IF('H.W&amp;S.W&amp;Services'!E125=0,"",'H.W&amp;S.W&amp;Services'!E125)</f>
        <v/>
      </c>
    </row>
    <row r="112" spans="1:10" x14ac:dyDescent="0.2">
      <c r="A112" s="2" t="str">
        <f t="shared" ca="1" si="1"/>
        <v/>
      </c>
      <c r="B112" s="2" t="str">
        <f>IF('H.W&amp;S.W&amp;Services'!C126=0,"",'H.W&amp;S.W&amp;Services'!C126)</f>
        <v/>
      </c>
      <c r="C112" s="2" t="str">
        <f>IF('H.W&amp;S.W&amp;Services'!C126=0,"",'H.W&amp;S.W&amp;Services'!C126)</f>
        <v/>
      </c>
      <c r="D112" s="2" t="str">
        <f>IF('H.W&amp;S.W&amp;Services'!H126=0,"",'H.W&amp;S.W&amp;Services'!H126)</f>
        <v/>
      </c>
      <c r="E112" s="2" t="str">
        <f>IF('H.W&amp;S.W&amp;Services'!I126=0,"",'H.W&amp;S.W&amp;Services'!I126)</f>
        <v/>
      </c>
      <c r="F112" s="3" t="str">
        <f>IF('H.W&amp;S.W&amp;Services'!J126=0,"",'H.W&amp;S.W&amp;Services'!J126)</f>
        <v/>
      </c>
      <c r="G112" s="4" t="str">
        <f>IF('H.W&amp;S.W&amp;Services'!O126=0,"",'H.W&amp;S.W&amp;Services'!O126)</f>
        <v/>
      </c>
      <c r="H112" s="2" t="str">
        <f>IF('H.W&amp;S.W&amp;Services'!B126=0,"",'H.W&amp;S.W&amp;Services'!B126) &amp; IF('H.W&amp;S.W&amp;Services'!F126=0,""," / "&amp;'H.W&amp;S.W&amp;Services'!F126) &amp; IF('H.W&amp;S.W&amp;Services'!G126=0,""," / "&amp;'H.W&amp;S.W&amp;Services'!G126)</f>
        <v/>
      </c>
      <c r="I112" t="str">
        <f>IF('H.W&amp;S.W&amp;Services'!D126=0,"",'H.W&amp;S.W&amp;Services'!D126)</f>
        <v/>
      </c>
      <c r="J112" s="2" t="str">
        <f>IF('H.W&amp;S.W&amp;Services'!E126=0,"",'H.W&amp;S.W&amp;Services'!E126)</f>
        <v/>
      </c>
    </row>
    <row r="113" spans="1:10" x14ac:dyDescent="0.2">
      <c r="A113" s="2" t="str">
        <f t="shared" ca="1" si="1"/>
        <v/>
      </c>
      <c r="B113" s="2" t="str">
        <f>IF('H.W&amp;S.W&amp;Services'!C127=0,"",'H.W&amp;S.W&amp;Services'!C127)</f>
        <v/>
      </c>
      <c r="C113" s="2" t="str">
        <f>IF('H.W&amp;S.W&amp;Services'!C127=0,"",'H.W&amp;S.W&amp;Services'!C127)</f>
        <v/>
      </c>
      <c r="D113" s="2" t="str">
        <f>IF('H.W&amp;S.W&amp;Services'!H127=0,"",'H.W&amp;S.W&amp;Services'!H127)</f>
        <v/>
      </c>
      <c r="E113" s="2" t="str">
        <f>IF('H.W&amp;S.W&amp;Services'!I127=0,"",'H.W&amp;S.W&amp;Services'!I127)</f>
        <v/>
      </c>
      <c r="F113" s="3" t="str">
        <f>IF('H.W&amp;S.W&amp;Services'!J127=0,"",'H.W&amp;S.W&amp;Services'!J127)</f>
        <v/>
      </c>
      <c r="G113" s="4" t="str">
        <f>IF('H.W&amp;S.W&amp;Services'!O127=0,"",'H.W&amp;S.W&amp;Services'!O127)</f>
        <v/>
      </c>
      <c r="H113" s="2" t="str">
        <f>IF('H.W&amp;S.W&amp;Services'!B127=0,"",'H.W&amp;S.W&amp;Services'!B127) &amp; IF('H.W&amp;S.W&amp;Services'!F127=0,""," / "&amp;'H.W&amp;S.W&amp;Services'!F127) &amp; IF('H.W&amp;S.W&amp;Services'!G127=0,""," / "&amp;'H.W&amp;S.W&amp;Services'!G127)</f>
        <v/>
      </c>
      <c r="I113" t="str">
        <f>IF('H.W&amp;S.W&amp;Services'!D127=0,"",'H.W&amp;S.W&amp;Services'!D127)</f>
        <v/>
      </c>
      <c r="J113" s="2" t="str">
        <f>IF('H.W&amp;S.W&amp;Services'!E127=0,"",'H.W&amp;S.W&amp;Services'!E127)</f>
        <v/>
      </c>
    </row>
    <row r="114" spans="1:10" x14ac:dyDescent="0.2">
      <c r="A114" s="2" t="str">
        <f t="shared" ca="1" si="1"/>
        <v/>
      </c>
      <c r="B114" s="2" t="str">
        <f>IF('H.W&amp;S.W&amp;Services'!C128=0,"",'H.W&amp;S.W&amp;Services'!C128)</f>
        <v/>
      </c>
      <c r="C114" s="2" t="str">
        <f>IF('H.W&amp;S.W&amp;Services'!C128=0,"",'H.W&amp;S.W&amp;Services'!C128)</f>
        <v/>
      </c>
      <c r="D114" s="2" t="str">
        <f>IF('H.W&amp;S.W&amp;Services'!H128=0,"",'H.W&amp;S.W&amp;Services'!H128)</f>
        <v/>
      </c>
      <c r="E114" s="2" t="str">
        <f>IF('H.W&amp;S.W&amp;Services'!I128=0,"",'H.W&amp;S.W&amp;Services'!I128)</f>
        <v/>
      </c>
      <c r="F114" s="3" t="str">
        <f>IF('H.W&amp;S.W&amp;Services'!J128=0,"",'H.W&amp;S.W&amp;Services'!J128)</f>
        <v/>
      </c>
      <c r="G114" s="4" t="str">
        <f>IF('H.W&amp;S.W&amp;Services'!O128=0,"",'H.W&amp;S.W&amp;Services'!O128)</f>
        <v/>
      </c>
      <c r="H114" s="2" t="str">
        <f>IF('H.W&amp;S.W&amp;Services'!B128=0,"",'H.W&amp;S.W&amp;Services'!B128) &amp; IF('H.W&amp;S.W&amp;Services'!F128=0,""," / "&amp;'H.W&amp;S.W&amp;Services'!F128) &amp; IF('H.W&amp;S.W&amp;Services'!G128=0,""," / "&amp;'H.W&amp;S.W&amp;Services'!G128)</f>
        <v/>
      </c>
      <c r="I114" t="str">
        <f>IF('H.W&amp;S.W&amp;Services'!D128=0,"",'H.W&amp;S.W&amp;Services'!D128)</f>
        <v/>
      </c>
      <c r="J114" s="2" t="str">
        <f>IF('H.W&amp;S.W&amp;Services'!E128=0,"",'H.W&amp;S.W&amp;Services'!E128)</f>
        <v/>
      </c>
    </row>
    <row r="115" spans="1:10" x14ac:dyDescent="0.2">
      <c r="A115" s="2" t="str">
        <f t="shared" ca="1" si="1"/>
        <v/>
      </c>
      <c r="B115" s="2" t="str">
        <f>IF('H.W&amp;S.W&amp;Services'!C129=0,"",'H.W&amp;S.W&amp;Services'!C129)</f>
        <v/>
      </c>
      <c r="C115" s="2" t="str">
        <f>IF('H.W&amp;S.W&amp;Services'!C129=0,"",'H.W&amp;S.W&amp;Services'!C129)</f>
        <v/>
      </c>
      <c r="D115" s="2" t="str">
        <f>IF('H.W&amp;S.W&amp;Services'!H129=0,"",'H.W&amp;S.W&amp;Services'!H129)</f>
        <v/>
      </c>
      <c r="E115" s="2" t="str">
        <f>IF('H.W&amp;S.W&amp;Services'!I129=0,"",'H.W&amp;S.W&amp;Services'!I129)</f>
        <v/>
      </c>
      <c r="F115" s="3" t="str">
        <f>IF('H.W&amp;S.W&amp;Services'!J129=0,"",'H.W&amp;S.W&amp;Services'!J129)</f>
        <v/>
      </c>
      <c r="G115" s="4" t="str">
        <f>IF('H.W&amp;S.W&amp;Services'!O129=0,"",'H.W&amp;S.W&amp;Services'!O129)</f>
        <v/>
      </c>
      <c r="H115" s="2" t="str">
        <f>IF('H.W&amp;S.W&amp;Services'!B129=0,"",'H.W&amp;S.W&amp;Services'!B129) &amp; IF('H.W&amp;S.W&amp;Services'!F129=0,""," / "&amp;'H.W&amp;S.W&amp;Services'!F129) &amp; IF('H.W&amp;S.W&amp;Services'!G129=0,""," / "&amp;'H.W&amp;S.W&amp;Services'!G129)</f>
        <v/>
      </c>
      <c r="I115" t="str">
        <f>IF('H.W&amp;S.W&amp;Services'!D129=0,"",'H.W&amp;S.W&amp;Services'!D129)</f>
        <v/>
      </c>
      <c r="J115" s="2" t="str">
        <f>IF('H.W&amp;S.W&amp;Services'!E129=0,"",'H.W&amp;S.W&amp;Services'!E129)</f>
        <v/>
      </c>
    </row>
    <row r="116" spans="1:10" x14ac:dyDescent="0.2">
      <c r="A116" s="2" t="str">
        <f t="shared" ca="1" si="1"/>
        <v/>
      </c>
      <c r="B116" s="2" t="str">
        <f>IF('H.W&amp;S.W&amp;Services'!C130=0,"",'H.W&amp;S.W&amp;Services'!C130)</f>
        <v/>
      </c>
      <c r="C116" s="2" t="str">
        <f>IF('H.W&amp;S.W&amp;Services'!C130=0,"",'H.W&amp;S.W&amp;Services'!C130)</f>
        <v/>
      </c>
      <c r="D116" s="2" t="str">
        <f>IF('H.W&amp;S.W&amp;Services'!H130=0,"",'H.W&amp;S.W&amp;Services'!H130)</f>
        <v/>
      </c>
      <c r="E116" s="2" t="str">
        <f>IF('H.W&amp;S.W&amp;Services'!I130=0,"",'H.W&amp;S.W&amp;Services'!I130)</f>
        <v/>
      </c>
      <c r="F116" s="3" t="str">
        <f>IF('H.W&amp;S.W&amp;Services'!J130=0,"",'H.W&amp;S.W&amp;Services'!J130)</f>
        <v/>
      </c>
      <c r="G116" s="4" t="str">
        <f>IF('H.W&amp;S.W&amp;Services'!O130=0,"",'H.W&amp;S.W&amp;Services'!O130)</f>
        <v/>
      </c>
      <c r="H116" s="2" t="str">
        <f>IF('H.W&amp;S.W&amp;Services'!B130=0,"",'H.W&amp;S.W&amp;Services'!B130) &amp; IF('H.W&amp;S.W&amp;Services'!F130=0,""," / "&amp;'H.W&amp;S.W&amp;Services'!F130) &amp; IF('H.W&amp;S.W&amp;Services'!G130=0,""," / "&amp;'H.W&amp;S.W&amp;Services'!G130)</f>
        <v/>
      </c>
      <c r="I116" t="str">
        <f>IF('H.W&amp;S.W&amp;Services'!D130=0,"",'H.W&amp;S.W&amp;Services'!D130)</f>
        <v/>
      </c>
      <c r="J116" s="2" t="str">
        <f>IF('H.W&amp;S.W&amp;Services'!E130=0,"",'H.W&amp;S.W&amp;Services'!E130)</f>
        <v/>
      </c>
    </row>
    <row r="117" spans="1:10" x14ac:dyDescent="0.2">
      <c r="A117" s="2" t="str">
        <f t="shared" ca="1" si="1"/>
        <v/>
      </c>
      <c r="B117" s="2" t="str">
        <f>IF('H.W&amp;S.W&amp;Services'!C131=0,"",'H.W&amp;S.W&amp;Services'!C131)</f>
        <v/>
      </c>
      <c r="C117" s="2" t="str">
        <f>IF('H.W&amp;S.W&amp;Services'!C131=0,"",'H.W&amp;S.W&amp;Services'!C131)</f>
        <v/>
      </c>
      <c r="D117" s="2" t="str">
        <f>IF('H.W&amp;S.W&amp;Services'!H131=0,"",'H.W&amp;S.W&amp;Services'!H131)</f>
        <v/>
      </c>
      <c r="E117" s="2" t="str">
        <f>IF('H.W&amp;S.W&amp;Services'!I131=0,"",'H.W&amp;S.W&amp;Services'!I131)</f>
        <v/>
      </c>
      <c r="F117" s="3" t="str">
        <f>IF('H.W&amp;S.W&amp;Services'!J131=0,"",'H.W&amp;S.W&amp;Services'!J131)</f>
        <v/>
      </c>
      <c r="G117" s="4" t="str">
        <f>IF('H.W&amp;S.W&amp;Services'!O131=0,"",'H.W&amp;S.W&amp;Services'!O131)</f>
        <v/>
      </c>
      <c r="H117" s="2" t="str">
        <f>IF('H.W&amp;S.W&amp;Services'!B131=0,"",'H.W&amp;S.W&amp;Services'!B131) &amp; IF('H.W&amp;S.W&amp;Services'!F131=0,""," / "&amp;'H.W&amp;S.W&amp;Services'!F131) &amp; IF('H.W&amp;S.W&amp;Services'!G131=0,""," / "&amp;'H.W&amp;S.W&amp;Services'!G131)</f>
        <v/>
      </c>
      <c r="I117" t="str">
        <f>IF('H.W&amp;S.W&amp;Services'!D131=0,"",'H.W&amp;S.W&amp;Services'!D131)</f>
        <v/>
      </c>
      <c r="J117" s="2" t="str">
        <f>IF('H.W&amp;S.W&amp;Services'!E131=0,"",'H.W&amp;S.W&amp;Services'!E131)</f>
        <v/>
      </c>
    </row>
    <row r="118" spans="1:10" x14ac:dyDescent="0.2">
      <c r="A118" s="2" t="str">
        <f t="shared" ca="1" si="1"/>
        <v/>
      </c>
      <c r="B118" s="2" t="str">
        <f>IF('H.W&amp;S.W&amp;Services'!C132=0,"",'H.W&amp;S.W&amp;Services'!C132)</f>
        <v/>
      </c>
      <c r="C118" s="2" t="str">
        <f>IF('H.W&amp;S.W&amp;Services'!C132=0,"",'H.W&amp;S.W&amp;Services'!C132)</f>
        <v/>
      </c>
      <c r="D118" s="2" t="str">
        <f>IF('H.W&amp;S.W&amp;Services'!H132=0,"",'H.W&amp;S.W&amp;Services'!H132)</f>
        <v/>
      </c>
      <c r="E118" s="2" t="str">
        <f>IF('H.W&amp;S.W&amp;Services'!I132=0,"",'H.W&amp;S.W&amp;Services'!I132)</f>
        <v/>
      </c>
      <c r="F118" s="3" t="str">
        <f>IF('H.W&amp;S.W&amp;Services'!J132=0,"",'H.W&amp;S.W&amp;Services'!J132)</f>
        <v/>
      </c>
      <c r="G118" s="4" t="str">
        <f>IF('H.W&amp;S.W&amp;Services'!O132=0,"",'H.W&amp;S.W&amp;Services'!O132)</f>
        <v/>
      </c>
      <c r="H118" s="2" t="str">
        <f>IF('H.W&amp;S.W&amp;Services'!B132=0,"",'H.W&amp;S.W&amp;Services'!B132) &amp; IF('H.W&amp;S.W&amp;Services'!F132=0,""," / "&amp;'H.W&amp;S.W&amp;Services'!F132) &amp; IF('H.W&amp;S.W&amp;Services'!G132=0,""," / "&amp;'H.W&amp;S.W&amp;Services'!G132)</f>
        <v/>
      </c>
      <c r="I118" t="str">
        <f>IF('H.W&amp;S.W&amp;Services'!D132=0,"",'H.W&amp;S.W&amp;Services'!D132)</f>
        <v/>
      </c>
      <c r="J118" s="2" t="str">
        <f>IF('H.W&amp;S.W&amp;Services'!E132=0,"",'H.W&amp;S.W&amp;Services'!E132)</f>
        <v/>
      </c>
    </row>
    <row r="119" spans="1:10" x14ac:dyDescent="0.2">
      <c r="A119" s="2" t="str">
        <f t="shared" ca="1" si="1"/>
        <v/>
      </c>
      <c r="B119" s="2" t="str">
        <f>IF('H.W&amp;S.W&amp;Services'!C133=0,"",'H.W&amp;S.W&amp;Services'!C133)</f>
        <v/>
      </c>
      <c r="C119" s="2" t="str">
        <f>IF('H.W&amp;S.W&amp;Services'!C133=0,"",'H.W&amp;S.W&amp;Services'!C133)</f>
        <v/>
      </c>
      <c r="D119" s="2" t="str">
        <f>IF('H.W&amp;S.W&amp;Services'!H133=0,"",'H.W&amp;S.W&amp;Services'!H133)</f>
        <v/>
      </c>
      <c r="E119" s="2" t="str">
        <f>IF('H.W&amp;S.W&amp;Services'!I133=0,"",'H.W&amp;S.W&amp;Services'!I133)</f>
        <v/>
      </c>
      <c r="F119" s="3" t="str">
        <f>IF('H.W&amp;S.W&amp;Services'!J133=0,"",'H.W&amp;S.W&amp;Services'!J133)</f>
        <v/>
      </c>
      <c r="G119" s="4" t="str">
        <f>IF('H.W&amp;S.W&amp;Services'!O133=0,"",'H.W&amp;S.W&amp;Services'!O133)</f>
        <v/>
      </c>
      <c r="H119" s="2" t="str">
        <f>IF('H.W&amp;S.W&amp;Services'!B133=0,"",'H.W&amp;S.W&amp;Services'!B133) &amp; IF('H.W&amp;S.W&amp;Services'!F133=0,""," / "&amp;'H.W&amp;S.W&amp;Services'!F133) &amp; IF('H.W&amp;S.W&amp;Services'!G133=0,""," / "&amp;'H.W&amp;S.W&amp;Services'!G133)</f>
        <v/>
      </c>
      <c r="I119" t="str">
        <f>IF('H.W&amp;S.W&amp;Services'!D133=0,"",'H.W&amp;S.W&amp;Services'!D133)</f>
        <v/>
      </c>
      <c r="J119" s="2" t="str">
        <f>IF('H.W&amp;S.W&amp;Services'!E133=0,"",'H.W&amp;S.W&amp;Services'!E133)</f>
        <v/>
      </c>
    </row>
    <row r="120" spans="1:10" x14ac:dyDescent="0.2">
      <c r="A120" s="2" t="str">
        <f t="shared" ca="1" si="1"/>
        <v/>
      </c>
      <c r="B120" s="2" t="str">
        <f>IF('H.W&amp;S.W&amp;Services'!C134=0,"",'H.W&amp;S.W&amp;Services'!C134)</f>
        <v/>
      </c>
      <c r="C120" s="2" t="str">
        <f>IF('H.W&amp;S.W&amp;Services'!C134=0,"",'H.W&amp;S.W&amp;Services'!C134)</f>
        <v/>
      </c>
      <c r="D120" s="2" t="str">
        <f>IF('H.W&amp;S.W&amp;Services'!H134=0,"",'H.W&amp;S.W&amp;Services'!H134)</f>
        <v/>
      </c>
      <c r="E120" s="2" t="str">
        <f>IF('H.W&amp;S.W&amp;Services'!I134=0,"",'H.W&amp;S.W&amp;Services'!I134)</f>
        <v/>
      </c>
      <c r="F120" s="3" t="str">
        <f>IF('H.W&amp;S.W&amp;Services'!J134=0,"",'H.W&amp;S.W&amp;Services'!J134)</f>
        <v/>
      </c>
      <c r="G120" s="4" t="str">
        <f>IF('H.W&amp;S.W&amp;Services'!O134=0,"",'H.W&amp;S.W&amp;Services'!O134)</f>
        <v/>
      </c>
      <c r="H120" s="2" t="str">
        <f>IF('H.W&amp;S.W&amp;Services'!B134=0,"",'H.W&amp;S.W&amp;Services'!B134) &amp; IF('H.W&amp;S.W&amp;Services'!F134=0,""," / "&amp;'H.W&amp;S.W&amp;Services'!F134) &amp; IF('H.W&amp;S.W&amp;Services'!G134=0,""," / "&amp;'H.W&amp;S.W&amp;Services'!G134)</f>
        <v/>
      </c>
      <c r="I120" t="str">
        <f>IF('H.W&amp;S.W&amp;Services'!D134=0,"",'H.W&amp;S.W&amp;Services'!D134)</f>
        <v/>
      </c>
      <c r="J120" s="2" t="str">
        <f>IF('H.W&amp;S.W&amp;Services'!E134=0,"",'H.W&amp;S.W&amp;Services'!E134)</f>
        <v/>
      </c>
    </row>
    <row r="121" spans="1:10" x14ac:dyDescent="0.2">
      <c r="A121" s="2" t="str">
        <f t="shared" ca="1" si="1"/>
        <v/>
      </c>
      <c r="B121" s="2" t="str">
        <f>IF('H.W&amp;S.W&amp;Services'!C135=0,"",'H.W&amp;S.W&amp;Services'!C135)</f>
        <v/>
      </c>
      <c r="C121" s="2" t="str">
        <f>IF('H.W&amp;S.W&amp;Services'!C135=0,"",'H.W&amp;S.W&amp;Services'!C135)</f>
        <v/>
      </c>
      <c r="D121" s="2" t="str">
        <f>IF('H.W&amp;S.W&amp;Services'!H135=0,"",'H.W&amp;S.W&amp;Services'!H135)</f>
        <v/>
      </c>
      <c r="E121" s="2" t="str">
        <f>IF('H.W&amp;S.W&amp;Services'!I135=0,"",'H.W&amp;S.W&amp;Services'!I135)</f>
        <v/>
      </c>
      <c r="F121" s="3" t="str">
        <f>IF('H.W&amp;S.W&amp;Services'!J135=0,"",'H.W&amp;S.W&amp;Services'!J135)</f>
        <v/>
      </c>
      <c r="G121" s="4" t="str">
        <f>IF('H.W&amp;S.W&amp;Services'!O135=0,"",'H.W&amp;S.W&amp;Services'!O135)</f>
        <v/>
      </c>
      <c r="H121" s="2" t="str">
        <f>IF('H.W&amp;S.W&amp;Services'!B135=0,"",'H.W&amp;S.W&amp;Services'!B135) &amp; IF('H.W&amp;S.W&amp;Services'!F135=0,""," / "&amp;'H.W&amp;S.W&amp;Services'!F135) &amp; IF('H.W&amp;S.W&amp;Services'!G135=0,""," / "&amp;'H.W&amp;S.W&amp;Services'!G135)</f>
        <v/>
      </c>
      <c r="I121" t="str">
        <f>IF('H.W&amp;S.W&amp;Services'!D135=0,"",'H.W&amp;S.W&amp;Services'!D135)</f>
        <v/>
      </c>
      <c r="J121" s="2" t="str">
        <f>IF('H.W&amp;S.W&amp;Services'!E135=0,"",'H.W&amp;S.W&amp;Services'!E135)</f>
        <v/>
      </c>
    </row>
    <row r="122" spans="1:10" x14ac:dyDescent="0.2">
      <c r="A122" s="2" t="str">
        <f t="shared" ca="1" si="1"/>
        <v/>
      </c>
      <c r="B122" s="2" t="str">
        <f>IF('H.W&amp;S.W&amp;Services'!C136=0,"",'H.W&amp;S.W&amp;Services'!C136)</f>
        <v/>
      </c>
      <c r="C122" s="2" t="str">
        <f>IF('H.W&amp;S.W&amp;Services'!C136=0,"",'H.W&amp;S.W&amp;Services'!C136)</f>
        <v/>
      </c>
      <c r="D122" s="2" t="str">
        <f>IF('H.W&amp;S.W&amp;Services'!H136=0,"",'H.W&amp;S.W&amp;Services'!H136)</f>
        <v/>
      </c>
      <c r="E122" s="2" t="str">
        <f>IF('H.W&amp;S.W&amp;Services'!I136=0,"",'H.W&amp;S.W&amp;Services'!I136)</f>
        <v/>
      </c>
      <c r="F122" s="3" t="str">
        <f>IF('H.W&amp;S.W&amp;Services'!J136=0,"",'H.W&amp;S.W&amp;Services'!J136)</f>
        <v/>
      </c>
      <c r="G122" s="4" t="str">
        <f>IF('H.W&amp;S.W&amp;Services'!O136=0,"",'H.W&amp;S.W&amp;Services'!O136)</f>
        <v/>
      </c>
      <c r="H122" s="2" t="str">
        <f>IF('H.W&amp;S.W&amp;Services'!B136=0,"",'H.W&amp;S.W&amp;Services'!B136) &amp; IF('H.W&amp;S.W&amp;Services'!F136=0,""," / "&amp;'H.W&amp;S.W&amp;Services'!F136) &amp; IF('H.W&amp;S.W&amp;Services'!G136=0,""," / "&amp;'H.W&amp;S.W&amp;Services'!G136)</f>
        <v/>
      </c>
      <c r="I122" t="str">
        <f>IF('H.W&amp;S.W&amp;Services'!D136=0,"",'H.W&amp;S.W&amp;Services'!D136)</f>
        <v/>
      </c>
      <c r="J122" s="2" t="str">
        <f>IF('H.W&amp;S.W&amp;Services'!E136=0,"",'H.W&amp;S.W&amp;Services'!E136)</f>
        <v/>
      </c>
    </row>
    <row r="123" spans="1:10" x14ac:dyDescent="0.2">
      <c r="A123" s="2" t="str">
        <f t="shared" ca="1" si="1"/>
        <v/>
      </c>
      <c r="B123" s="2" t="str">
        <f>IF('H.W&amp;S.W&amp;Services'!C137=0,"",'H.W&amp;S.W&amp;Services'!C137)</f>
        <v/>
      </c>
      <c r="C123" s="2" t="str">
        <f>IF('H.W&amp;S.W&amp;Services'!C137=0,"",'H.W&amp;S.W&amp;Services'!C137)</f>
        <v/>
      </c>
      <c r="D123" s="2" t="str">
        <f>IF('H.W&amp;S.W&amp;Services'!H137=0,"",'H.W&amp;S.W&amp;Services'!H137)</f>
        <v/>
      </c>
      <c r="E123" s="2" t="str">
        <f>IF('H.W&amp;S.W&amp;Services'!I137=0,"",'H.W&amp;S.W&amp;Services'!I137)</f>
        <v/>
      </c>
      <c r="F123" s="3" t="str">
        <f>IF('H.W&amp;S.W&amp;Services'!J137=0,"",'H.W&amp;S.W&amp;Services'!J137)</f>
        <v/>
      </c>
      <c r="G123" s="4" t="str">
        <f>IF('H.W&amp;S.W&amp;Services'!O137=0,"",'H.W&amp;S.W&amp;Services'!O137)</f>
        <v/>
      </c>
      <c r="H123" s="2" t="str">
        <f>IF('H.W&amp;S.W&amp;Services'!B137=0,"",'H.W&amp;S.W&amp;Services'!B137) &amp; IF('H.W&amp;S.W&amp;Services'!F137=0,""," / "&amp;'H.W&amp;S.W&amp;Services'!F137) &amp; IF('H.W&amp;S.W&amp;Services'!G137=0,""," / "&amp;'H.W&amp;S.W&amp;Services'!G137)</f>
        <v/>
      </c>
      <c r="I123" t="str">
        <f>IF('H.W&amp;S.W&amp;Services'!D137=0,"",'H.W&amp;S.W&amp;Services'!D137)</f>
        <v/>
      </c>
      <c r="J123" s="2" t="str">
        <f>IF('H.W&amp;S.W&amp;Services'!E137=0,"",'H.W&amp;S.W&amp;Services'!E137)</f>
        <v/>
      </c>
    </row>
    <row r="124" spans="1:10" x14ac:dyDescent="0.2">
      <c r="A124" s="2" t="str">
        <f t="shared" ca="1" si="1"/>
        <v/>
      </c>
      <c r="B124" s="2" t="str">
        <f>IF('H.W&amp;S.W&amp;Services'!C138=0,"",'H.W&amp;S.W&amp;Services'!C138)</f>
        <v/>
      </c>
      <c r="C124" s="2" t="str">
        <f>IF('H.W&amp;S.W&amp;Services'!C138=0,"",'H.W&amp;S.W&amp;Services'!C138)</f>
        <v/>
      </c>
      <c r="D124" s="2" t="str">
        <f>IF('H.W&amp;S.W&amp;Services'!H138=0,"",'H.W&amp;S.W&amp;Services'!H138)</f>
        <v/>
      </c>
      <c r="E124" s="2" t="str">
        <f>IF('H.W&amp;S.W&amp;Services'!I138=0,"",'H.W&amp;S.W&amp;Services'!I138)</f>
        <v/>
      </c>
      <c r="F124" s="3" t="str">
        <f>IF('H.W&amp;S.W&amp;Services'!J138=0,"",'H.W&amp;S.W&amp;Services'!J138)</f>
        <v/>
      </c>
      <c r="G124" s="4" t="str">
        <f>IF('H.W&amp;S.W&amp;Services'!O138=0,"",'H.W&amp;S.W&amp;Services'!O138)</f>
        <v/>
      </c>
      <c r="H124" s="2" t="str">
        <f>IF('H.W&amp;S.W&amp;Services'!B138=0,"",'H.W&amp;S.W&amp;Services'!B138) &amp; IF('H.W&amp;S.W&amp;Services'!F138=0,""," / "&amp;'H.W&amp;S.W&amp;Services'!F138) &amp; IF('H.W&amp;S.W&amp;Services'!G138=0,""," / "&amp;'H.W&amp;S.W&amp;Services'!G138)</f>
        <v/>
      </c>
      <c r="I124" t="str">
        <f>IF('H.W&amp;S.W&amp;Services'!D138=0,"",'H.W&amp;S.W&amp;Services'!D138)</f>
        <v/>
      </c>
      <c r="J124" s="2" t="str">
        <f>IF('H.W&amp;S.W&amp;Services'!E138=0,"",'H.W&amp;S.W&amp;Services'!E138)</f>
        <v/>
      </c>
    </row>
    <row r="125" spans="1:10" x14ac:dyDescent="0.2">
      <c r="A125" s="2" t="str">
        <f t="shared" ca="1" si="1"/>
        <v/>
      </c>
      <c r="B125" s="2" t="str">
        <f>IF('H.W&amp;S.W&amp;Services'!C139=0,"",'H.W&amp;S.W&amp;Services'!C139)</f>
        <v/>
      </c>
      <c r="C125" s="2" t="str">
        <f>IF('H.W&amp;S.W&amp;Services'!C139=0,"",'H.W&amp;S.W&amp;Services'!C139)</f>
        <v/>
      </c>
      <c r="D125" s="2" t="str">
        <f>IF('H.W&amp;S.W&amp;Services'!H139=0,"",'H.W&amp;S.W&amp;Services'!H139)</f>
        <v/>
      </c>
      <c r="E125" s="2" t="str">
        <f>IF('H.W&amp;S.W&amp;Services'!I139=0,"",'H.W&amp;S.W&amp;Services'!I139)</f>
        <v/>
      </c>
      <c r="F125" s="3" t="str">
        <f>IF('H.W&amp;S.W&amp;Services'!J139=0,"",'H.W&amp;S.W&amp;Services'!J139)</f>
        <v/>
      </c>
      <c r="G125" s="4" t="str">
        <f>IF('H.W&amp;S.W&amp;Services'!O139=0,"",'H.W&amp;S.W&amp;Services'!O139)</f>
        <v/>
      </c>
      <c r="H125" s="2" t="str">
        <f>IF('H.W&amp;S.W&amp;Services'!B139=0,"",'H.W&amp;S.W&amp;Services'!B139) &amp; IF('H.W&amp;S.W&amp;Services'!F139=0,""," / "&amp;'H.W&amp;S.W&amp;Services'!F139) &amp; IF('H.W&amp;S.W&amp;Services'!G139=0,""," / "&amp;'H.W&amp;S.W&amp;Services'!G139)</f>
        <v/>
      </c>
      <c r="I125" t="str">
        <f>IF('H.W&amp;S.W&amp;Services'!D139=0,"",'H.W&amp;S.W&amp;Services'!D139)</f>
        <v/>
      </c>
      <c r="J125" s="2" t="str">
        <f>IF('H.W&amp;S.W&amp;Services'!E139=0,"",'H.W&amp;S.W&amp;Services'!E139)</f>
        <v/>
      </c>
    </row>
    <row r="126" spans="1:10" x14ac:dyDescent="0.2">
      <c r="A126" s="2" t="str">
        <f t="shared" ca="1" si="1"/>
        <v/>
      </c>
      <c r="B126" s="2" t="str">
        <f>IF('H.W&amp;S.W&amp;Services'!C140=0,"",'H.W&amp;S.W&amp;Services'!C140)</f>
        <v/>
      </c>
      <c r="C126" s="2" t="str">
        <f>IF('H.W&amp;S.W&amp;Services'!C140=0,"",'H.W&amp;S.W&amp;Services'!C140)</f>
        <v/>
      </c>
      <c r="D126" s="2" t="str">
        <f>IF('H.W&amp;S.W&amp;Services'!H140=0,"",'H.W&amp;S.W&amp;Services'!H140)</f>
        <v/>
      </c>
      <c r="E126" s="2" t="str">
        <f>IF('H.W&amp;S.W&amp;Services'!I140=0,"",'H.W&amp;S.W&amp;Services'!I140)</f>
        <v/>
      </c>
      <c r="F126" s="3" t="str">
        <f>IF('H.W&amp;S.W&amp;Services'!J140=0,"",'H.W&amp;S.W&amp;Services'!J140)</f>
        <v/>
      </c>
      <c r="G126" s="4" t="str">
        <f>IF('H.W&amp;S.W&amp;Services'!O140=0,"",'H.W&amp;S.W&amp;Services'!O140)</f>
        <v/>
      </c>
      <c r="H126" s="2" t="str">
        <f>IF('H.W&amp;S.W&amp;Services'!B140=0,"",'H.W&amp;S.W&amp;Services'!B140) &amp; IF('H.W&amp;S.W&amp;Services'!F140=0,""," / "&amp;'H.W&amp;S.W&amp;Services'!F140) &amp; IF('H.W&amp;S.W&amp;Services'!G140=0,""," / "&amp;'H.W&amp;S.W&amp;Services'!G140)</f>
        <v/>
      </c>
      <c r="I126" t="str">
        <f>IF('H.W&amp;S.W&amp;Services'!D140=0,"",'H.W&amp;S.W&amp;Services'!D140)</f>
        <v/>
      </c>
      <c r="J126" s="2" t="str">
        <f>IF('H.W&amp;S.W&amp;Services'!E140=0,"",'H.W&amp;S.W&amp;Services'!E140)</f>
        <v/>
      </c>
    </row>
    <row r="127" spans="1:10" x14ac:dyDescent="0.2">
      <c r="A127" s="2" t="str">
        <f t="shared" ca="1" si="1"/>
        <v/>
      </c>
      <c r="B127" s="2" t="str">
        <f>IF('H.W&amp;S.W&amp;Services'!C141=0,"",'H.W&amp;S.W&amp;Services'!C141)</f>
        <v/>
      </c>
      <c r="C127" s="2" t="str">
        <f>IF('H.W&amp;S.W&amp;Services'!C141=0,"",'H.W&amp;S.W&amp;Services'!C141)</f>
        <v/>
      </c>
      <c r="D127" s="2" t="str">
        <f>IF('H.W&amp;S.W&amp;Services'!H141=0,"",'H.W&amp;S.W&amp;Services'!H141)</f>
        <v/>
      </c>
      <c r="E127" s="2" t="str">
        <f>IF('H.W&amp;S.W&amp;Services'!I141=0,"",'H.W&amp;S.W&amp;Services'!I141)</f>
        <v/>
      </c>
      <c r="F127" s="3" t="str">
        <f>IF('H.W&amp;S.W&amp;Services'!J141=0,"",'H.W&amp;S.W&amp;Services'!J141)</f>
        <v/>
      </c>
      <c r="G127" s="4" t="str">
        <f>IF('H.W&amp;S.W&amp;Services'!O141=0,"",'H.W&amp;S.W&amp;Services'!O141)</f>
        <v/>
      </c>
      <c r="H127" s="2" t="str">
        <f>IF('H.W&amp;S.W&amp;Services'!B141=0,"",'H.W&amp;S.W&amp;Services'!B141) &amp; IF('H.W&amp;S.W&amp;Services'!F141=0,""," / "&amp;'H.W&amp;S.W&amp;Services'!F141) &amp; IF('H.W&amp;S.W&amp;Services'!G141=0,""," / "&amp;'H.W&amp;S.W&amp;Services'!G141)</f>
        <v/>
      </c>
      <c r="I127" t="str">
        <f>IF('H.W&amp;S.W&amp;Services'!D141=0,"",'H.W&amp;S.W&amp;Services'!D141)</f>
        <v/>
      </c>
      <c r="J127" s="2" t="str">
        <f>IF('H.W&amp;S.W&amp;Services'!E141=0,"",'H.W&amp;S.W&amp;Services'!E141)</f>
        <v/>
      </c>
    </row>
    <row r="128" spans="1:10" x14ac:dyDescent="0.2">
      <c r="A128" s="2" t="str">
        <f t="shared" ca="1" si="1"/>
        <v/>
      </c>
      <c r="B128" s="2" t="str">
        <f>IF('H.W&amp;S.W&amp;Services'!C142=0,"",'H.W&amp;S.W&amp;Services'!C142)</f>
        <v/>
      </c>
      <c r="C128" s="2" t="str">
        <f>IF('H.W&amp;S.W&amp;Services'!C142=0,"",'H.W&amp;S.W&amp;Services'!C142)</f>
        <v/>
      </c>
      <c r="D128" s="2" t="str">
        <f>IF('H.W&amp;S.W&amp;Services'!H142=0,"",'H.W&amp;S.W&amp;Services'!H142)</f>
        <v/>
      </c>
      <c r="E128" s="2" t="str">
        <f>IF('H.W&amp;S.W&amp;Services'!I142=0,"",'H.W&amp;S.W&amp;Services'!I142)</f>
        <v/>
      </c>
      <c r="F128" s="3" t="str">
        <f>IF('H.W&amp;S.W&amp;Services'!J142=0,"",'H.W&amp;S.W&amp;Services'!J142)</f>
        <v/>
      </c>
      <c r="G128" s="4" t="str">
        <f>IF('H.W&amp;S.W&amp;Services'!O142=0,"",'H.W&amp;S.W&amp;Services'!O142)</f>
        <v/>
      </c>
      <c r="H128" s="2" t="str">
        <f>IF('H.W&amp;S.W&amp;Services'!B142=0,"",'H.W&amp;S.W&amp;Services'!B142) &amp; IF('H.W&amp;S.W&amp;Services'!F142=0,""," / "&amp;'H.W&amp;S.W&amp;Services'!F142) &amp; IF('H.W&amp;S.W&amp;Services'!G142=0,""," / "&amp;'H.W&amp;S.W&amp;Services'!G142)</f>
        <v/>
      </c>
      <c r="I128" t="str">
        <f>IF('H.W&amp;S.W&amp;Services'!D142=0,"",'H.W&amp;S.W&amp;Services'!D142)</f>
        <v/>
      </c>
      <c r="J128" s="2" t="str">
        <f>IF('H.W&amp;S.W&amp;Services'!E142=0,"",'H.W&amp;S.W&amp;Services'!E142)</f>
        <v/>
      </c>
    </row>
    <row r="129" spans="1:10" x14ac:dyDescent="0.2">
      <c r="A129" s="2" t="str">
        <f t="shared" ca="1" si="1"/>
        <v/>
      </c>
      <c r="B129" s="2" t="str">
        <f>IF('H.W&amp;S.W&amp;Services'!C143=0,"",'H.W&amp;S.W&amp;Services'!C143)</f>
        <v/>
      </c>
      <c r="C129" s="2" t="str">
        <f>IF('H.W&amp;S.W&amp;Services'!C143=0,"",'H.W&amp;S.W&amp;Services'!C143)</f>
        <v/>
      </c>
      <c r="D129" s="2" t="str">
        <f>IF('H.W&amp;S.W&amp;Services'!H143=0,"",'H.W&amp;S.W&amp;Services'!H143)</f>
        <v/>
      </c>
      <c r="E129" s="2" t="str">
        <f>IF('H.W&amp;S.W&amp;Services'!I143=0,"",'H.W&amp;S.W&amp;Services'!I143)</f>
        <v/>
      </c>
      <c r="F129" s="3" t="str">
        <f>IF('H.W&amp;S.W&amp;Services'!J143=0,"",'H.W&amp;S.W&amp;Services'!J143)</f>
        <v/>
      </c>
      <c r="G129" s="4" t="str">
        <f>IF('H.W&amp;S.W&amp;Services'!O143=0,"",'H.W&amp;S.W&amp;Services'!O143)</f>
        <v/>
      </c>
      <c r="H129" s="2" t="str">
        <f>IF('H.W&amp;S.W&amp;Services'!B143=0,"",'H.W&amp;S.W&amp;Services'!B143) &amp; IF('H.W&amp;S.W&amp;Services'!F143=0,""," / "&amp;'H.W&amp;S.W&amp;Services'!F143) &amp; IF('H.W&amp;S.W&amp;Services'!G143=0,""," / "&amp;'H.W&amp;S.W&amp;Services'!G143)</f>
        <v/>
      </c>
      <c r="I129" t="str">
        <f>IF('H.W&amp;S.W&amp;Services'!D143=0,"",'H.W&amp;S.W&amp;Services'!D143)</f>
        <v/>
      </c>
      <c r="J129" s="2" t="str">
        <f>IF('H.W&amp;S.W&amp;Services'!E143=0,"",'H.W&amp;S.W&amp;Services'!E143)</f>
        <v/>
      </c>
    </row>
    <row r="130" spans="1:10" x14ac:dyDescent="0.2">
      <c r="A130" s="2" t="str">
        <f t="shared" ca="1" si="1"/>
        <v/>
      </c>
      <c r="B130" s="2" t="str">
        <f>IF('H.W&amp;S.W&amp;Services'!C144=0,"",'H.W&amp;S.W&amp;Services'!C144)</f>
        <v/>
      </c>
      <c r="C130" s="2" t="str">
        <f>IF('H.W&amp;S.W&amp;Services'!C144=0,"",'H.W&amp;S.W&amp;Services'!C144)</f>
        <v/>
      </c>
      <c r="D130" s="2" t="str">
        <f>IF('H.W&amp;S.W&amp;Services'!H144=0,"",'H.W&amp;S.W&amp;Services'!H144)</f>
        <v/>
      </c>
      <c r="E130" s="2" t="str">
        <f>IF('H.W&amp;S.W&amp;Services'!I144=0,"",'H.W&amp;S.W&amp;Services'!I144)</f>
        <v/>
      </c>
      <c r="F130" s="3" t="str">
        <f>IF('H.W&amp;S.W&amp;Services'!J144=0,"",'H.W&amp;S.W&amp;Services'!J144)</f>
        <v/>
      </c>
      <c r="G130" s="4" t="str">
        <f>IF('H.W&amp;S.W&amp;Services'!O144=0,"",'H.W&amp;S.W&amp;Services'!O144)</f>
        <v/>
      </c>
      <c r="H130" s="2" t="str">
        <f>IF('H.W&amp;S.W&amp;Services'!B144=0,"",'H.W&amp;S.W&amp;Services'!B144) &amp; IF('H.W&amp;S.W&amp;Services'!F144=0,""," / "&amp;'H.W&amp;S.W&amp;Services'!F144) &amp; IF('H.W&amp;S.W&amp;Services'!G144=0,""," / "&amp;'H.W&amp;S.W&amp;Services'!G144)</f>
        <v/>
      </c>
      <c r="I130" t="str">
        <f>IF('H.W&amp;S.W&amp;Services'!D144=0,"",'H.W&amp;S.W&amp;Services'!D144)</f>
        <v/>
      </c>
      <c r="J130" s="2" t="str">
        <f>IF('H.W&amp;S.W&amp;Services'!E144=0,"",'H.W&amp;S.W&amp;Services'!E144)</f>
        <v/>
      </c>
    </row>
    <row r="131" spans="1:10" x14ac:dyDescent="0.2">
      <c r="A131" s="2" t="str">
        <f t="shared" ca="1" si="1"/>
        <v/>
      </c>
      <c r="B131" s="2" t="str">
        <f>IF('H.W&amp;S.W&amp;Services'!C145=0,"",'H.W&amp;S.W&amp;Services'!C145)</f>
        <v/>
      </c>
      <c r="C131" s="2" t="str">
        <f>IF('H.W&amp;S.W&amp;Services'!C145=0,"",'H.W&amp;S.W&amp;Services'!C145)</f>
        <v/>
      </c>
      <c r="D131" s="2" t="str">
        <f>IF('H.W&amp;S.W&amp;Services'!H145=0,"",'H.W&amp;S.W&amp;Services'!H145)</f>
        <v/>
      </c>
      <c r="E131" s="2" t="str">
        <f>IF('H.W&amp;S.W&amp;Services'!I145=0,"",'H.W&amp;S.W&amp;Services'!I145)</f>
        <v/>
      </c>
      <c r="F131" s="3" t="str">
        <f>IF('H.W&amp;S.W&amp;Services'!J145=0,"",'H.W&amp;S.W&amp;Services'!J145)</f>
        <v/>
      </c>
      <c r="G131" s="4" t="str">
        <f>IF('H.W&amp;S.W&amp;Services'!O145=0,"",'H.W&amp;S.W&amp;Services'!O145)</f>
        <v/>
      </c>
      <c r="H131" s="2" t="str">
        <f>IF('H.W&amp;S.W&amp;Services'!B145=0,"",'H.W&amp;S.W&amp;Services'!B145) &amp; IF('H.W&amp;S.W&amp;Services'!F145=0,""," / "&amp;'H.W&amp;S.W&amp;Services'!F145) &amp; IF('H.W&amp;S.W&amp;Services'!G145=0,""," / "&amp;'H.W&amp;S.W&amp;Services'!G145)</f>
        <v/>
      </c>
      <c r="I131" t="str">
        <f>IF('H.W&amp;S.W&amp;Services'!D145=0,"",'H.W&amp;S.W&amp;Services'!D145)</f>
        <v/>
      </c>
      <c r="J131" s="2" t="str">
        <f>IF('H.W&amp;S.W&amp;Services'!E145=0,"",'H.W&amp;S.W&amp;Services'!E145)</f>
        <v/>
      </c>
    </row>
    <row r="132" spans="1:10" x14ac:dyDescent="0.2">
      <c r="A132" s="2" t="str">
        <f t="shared" ref="A132:A195" ca="1" si="2">IF(C132="","",RANDBETWEEN(1,10000000000)&amp;B132&amp;LEFT(D132,10))</f>
        <v/>
      </c>
      <c r="B132" s="2" t="str">
        <f>IF('H.W&amp;S.W&amp;Services'!C146=0,"",'H.W&amp;S.W&amp;Services'!C146)</f>
        <v/>
      </c>
      <c r="C132" s="2" t="str">
        <f>IF('H.W&amp;S.W&amp;Services'!C146=0,"",'H.W&amp;S.W&amp;Services'!C146)</f>
        <v/>
      </c>
      <c r="D132" s="2" t="str">
        <f>IF('H.W&amp;S.W&amp;Services'!H146=0,"",'H.W&amp;S.W&amp;Services'!H146)</f>
        <v/>
      </c>
      <c r="E132" s="2" t="str">
        <f>IF('H.W&amp;S.W&amp;Services'!I146=0,"",'H.W&amp;S.W&amp;Services'!I146)</f>
        <v/>
      </c>
      <c r="F132" s="3" t="str">
        <f>IF('H.W&amp;S.W&amp;Services'!J146=0,"",'H.W&amp;S.W&amp;Services'!J146)</f>
        <v/>
      </c>
      <c r="G132" s="4" t="str">
        <f>IF('H.W&amp;S.W&amp;Services'!O146=0,"",'H.W&amp;S.W&amp;Services'!O146)</f>
        <v/>
      </c>
      <c r="H132" s="2" t="str">
        <f>IF('H.W&amp;S.W&amp;Services'!B146=0,"",'H.W&amp;S.W&amp;Services'!B146) &amp; IF('H.W&amp;S.W&amp;Services'!F146=0,""," / "&amp;'H.W&amp;S.W&amp;Services'!F146) &amp; IF('H.W&amp;S.W&amp;Services'!G146=0,""," / "&amp;'H.W&amp;S.W&amp;Services'!G146)</f>
        <v/>
      </c>
      <c r="I132" t="str">
        <f>IF('H.W&amp;S.W&amp;Services'!D146=0,"",'H.W&amp;S.W&amp;Services'!D146)</f>
        <v/>
      </c>
      <c r="J132" s="2" t="str">
        <f>IF('H.W&amp;S.W&amp;Services'!E146=0,"",'H.W&amp;S.W&amp;Services'!E146)</f>
        <v/>
      </c>
    </row>
    <row r="133" spans="1:10" x14ac:dyDescent="0.2">
      <c r="A133" s="2" t="str">
        <f t="shared" ca="1" si="2"/>
        <v/>
      </c>
      <c r="B133" s="2" t="str">
        <f>IF('H.W&amp;S.W&amp;Services'!C147=0,"",'H.W&amp;S.W&amp;Services'!C147)</f>
        <v/>
      </c>
      <c r="C133" s="2" t="str">
        <f>IF('H.W&amp;S.W&amp;Services'!C147=0,"",'H.W&amp;S.W&amp;Services'!C147)</f>
        <v/>
      </c>
      <c r="D133" s="2" t="str">
        <f>IF('H.W&amp;S.W&amp;Services'!H147=0,"",'H.W&amp;S.W&amp;Services'!H147)</f>
        <v/>
      </c>
      <c r="E133" s="2" t="str">
        <f>IF('H.W&amp;S.W&amp;Services'!I147=0,"",'H.W&amp;S.W&amp;Services'!I147)</f>
        <v/>
      </c>
      <c r="F133" s="3" t="str">
        <f>IF('H.W&amp;S.W&amp;Services'!J147=0,"",'H.W&amp;S.W&amp;Services'!J147)</f>
        <v/>
      </c>
      <c r="G133" s="4" t="str">
        <f>IF('H.W&amp;S.W&amp;Services'!O147=0,"",'H.W&amp;S.W&amp;Services'!O147)</f>
        <v/>
      </c>
      <c r="H133" s="2" t="str">
        <f>IF('H.W&amp;S.W&amp;Services'!B147=0,"",'H.W&amp;S.W&amp;Services'!B147) &amp; IF('H.W&amp;S.W&amp;Services'!F147=0,""," / "&amp;'H.W&amp;S.W&amp;Services'!F147) &amp; IF('H.W&amp;S.W&amp;Services'!G147=0,""," / "&amp;'H.W&amp;S.W&amp;Services'!G147)</f>
        <v/>
      </c>
      <c r="I133" t="str">
        <f>IF('H.W&amp;S.W&amp;Services'!D147=0,"",'H.W&amp;S.W&amp;Services'!D147)</f>
        <v/>
      </c>
      <c r="J133" s="2" t="str">
        <f>IF('H.W&amp;S.W&amp;Services'!E147=0,"",'H.W&amp;S.W&amp;Services'!E147)</f>
        <v/>
      </c>
    </row>
    <row r="134" spans="1:10" x14ac:dyDescent="0.2">
      <c r="A134" s="2" t="str">
        <f t="shared" ca="1" si="2"/>
        <v/>
      </c>
      <c r="B134" s="2" t="str">
        <f>IF('H.W&amp;S.W&amp;Services'!C148=0,"",'H.W&amp;S.W&amp;Services'!C148)</f>
        <v/>
      </c>
      <c r="C134" s="2" t="str">
        <f>IF('H.W&amp;S.W&amp;Services'!C148=0,"",'H.W&amp;S.W&amp;Services'!C148)</f>
        <v/>
      </c>
      <c r="D134" s="2" t="str">
        <f>IF('H.W&amp;S.W&amp;Services'!H148=0,"",'H.W&amp;S.W&amp;Services'!H148)</f>
        <v/>
      </c>
      <c r="E134" s="2" t="str">
        <f>IF('H.W&amp;S.W&amp;Services'!I148=0,"",'H.W&amp;S.W&amp;Services'!I148)</f>
        <v/>
      </c>
      <c r="F134" s="3" t="str">
        <f>IF('H.W&amp;S.W&amp;Services'!J148=0,"",'H.W&amp;S.W&amp;Services'!J148)</f>
        <v/>
      </c>
      <c r="G134" s="4" t="str">
        <f>IF('H.W&amp;S.W&amp;Services'!O148=0,"",'H.W&amp;S.W&amp;Services'!O148)</f>
        <v/>
      </c>
      <c r="H134" s="2" t="str">
        <f>IF('H.W&amp;S.W&amp;Services'!B148=0,"",'H.W&amp;S.W&amp;Services'!B148) &amp; IF('H.W&amp;S.W&amp;Services'!F148=0,""," / "&amp;'H.W&amp;S.W&amp;Services'!F148) &amp; IF('H.W&amp;S.W&amp;Services'!G148=0,""," / "&amp;'H.W&amp;S.W&amp;Services'!G148)</f>
        <v/>
      </c>
      <c r="I134" t="str">
        <f>IF('H.W&amp;S.W&amp;Services'!D148=0,"",'H.W&amp;S.W&amp;Services'!D148)</f>
        <v/>
      </c>
      <c r="J134" s="2" t="str">
        <f>IF('H.W&amp;S.W&amp;Services'!E148=0,"",'H.W&amp;S.W&amp;Services'!E148)</f>
        <v/>
      </c>
    </row>
    <row r="135" spans="1:10" x14ac:dyDescent="0.2">
      <c r="A135" s="2" t="str">
        <f t="shared" ca="1" si="2"/>
        <v/>
      </c>
      <c r="B135" s="2" t="str">
        <f>IF('H.W&amp;S.W&amp;Services'!C149=0,"",'H.W&amp;S.W&amp;Services'!C149)</f>
        <v/>
      </c>
      <c r="C135" s="2" t="str">
        <f>IF('H.W&amp;S.W&amp;Services'!C149=0,"",'H.W&amp;S.W&amp;Services'!C149)</f>
        <v/>
      </c>
      <c r="D135" s="2" t="str">
        <f>IF('H.W&amp;S.W&amp;Services'!H149=0,"",'H.W&amp;S.W&amp;Services'!H149)</f>
        <v/>
      </c>
      <c r="E135" s="2" t="str">
        <f>IF('H.W&amp;S.W&amp;Services'!I149=0,"",'H.W&amp;S.W&amp;Services'!I149)</f>
        <v/>
      </c>
      <c r="F135" s="3" t="str">
        <f>IF('H.W&amp;S.W&amp;Services'!J149=0,"",'H.W&amp;S.W&amp;Services'!J149)</f>
        <v/>
      </c>
      <c r="G135" s="4" t="str">
        <f>IF('H.W&amp;S.W&amp;Services'!O149=0,"",'H.W&amp;S.W&amp;Services'!O149)</f>
        <v/>
      </c>
      <c r="H135" s="2" t="str">
        <f>IF('H.W&amp;S.W&amp;Services'!B149=0,"",'H.W&amp;S.W&amp;Services'!B149) &amp; IF('H.W&amp;S.W&amp;Services'!F149=0,""," / "&amp;'H.W&amp;S.W&amp;Services'!F149) &amp; IF('H.W&amp;S.W&amp;Services'!G149=0,""," / "&amp;'H.W&amp;S.W&amp;Services'!G149)</f>
        <v/>
      </c>
      <c r="I135" t="str">
        <f>IF('H.W&amp;S.W&amp;Services'!D149=0,"",'H.W&amp;S.W&amp;Services'!D149)</f>
        <v/>
      </c>
      <c r="J135" s="2" t="str">
        <f>IF('H.W&amp;S.W&amp;Services'!E149=0,"",'H.W&amp;S.W&amp;Services'!E149)</f>
        <v/>
      </c>
    </row>
    <row r="136" spans="1:10" x14ac:dyDescent="0.2">
      <c r="A136" s="2" t="str">
        <f t="shared" ca="1" si="2"/>
        <v/>
      </c>
      <c r="B136" s="2" t="str">
        <f>IF('H.W&amp;S.W&amp;Services'!C150=0,"",'H.W&amp;S.W&amp;Services'!C150)</f>
        <v/>
      </c>
      <c r="C136" s="2" t="str">
        <f>IF('H.W&amp;S.W&amp;Services'!C150=0,"",'H.W&amp;S.W&amp;Services'!C150)</f>
        <v/>
      </c>
      <c r="D136" s="2" t="str">
        <f>IF('H.W&amp;S.W&amp;Services'!H150=0,"",'H.W&amp;S.W&amp;Services'!H150)</f>
        <v/>
      </c>
      <c r="E136" s="2" t="str">
        <f>IF('H.W&amp;S.W&amp;Services'!I150=0,"",'H.W&amp;S.W&amp;Services'!I150)</f>
        <v/>
      </c>
      <c r="F136" s="3" t="str">
        <f>IF('H.W&amp;S.W&amp;Services'!J150=0,"",'H.W&amp;S.W&amp;Services'!J150)</f>
        <v/>
      </c>
      <c r="G136" s="4" t="str">
        <f>IF('H.W&amp;S.W&amp;Services'!O150=0,"",'H.W&amp;S.W&amp;Services'!O150)</f>
        <v/>
      </c>
      <c r="H136" s="2" t="str">
        <f>IF('H.W&amp;S.W&amp;Services'!B150=0,"",'H.W&amp;S.W&amp;Services'!B150) &amp; IF('H.W&amp;S.W&amp;Services'!F150=0,""," / "&amp;'H.W&amp;S.W&amp;Services'!F150) &amp; IF('H.W&amp;S.W&amp;Services'!G150=0,""," / "&amp;'H.W&amp;S.W&amp;Services'!G150)</f>
        <v/>
      </c>
      <c r="I136" t="str">
        <f>IF('H.W&amp;S.W&amp;Services'!D150=0,"",'H.W&amp;S.W&amp;Services'!D150)</f>
        <v/>
      </c>
      <c r="J136" s="2" t="str">
        <f>IF('H.W&amp;S.W&amp;Services'!E150=0,"",'H.W&amp;S.W&amp;Services'!E150)</f>
        <v/>
      </c>
    </row>
    <row r="137" spans="1:10" x14ac:dyDescent="0.2">
      <c r="A137" s="2" t="str">
        <f t="shared" ca="1" si="2"/>
        <v/>
      </c>
      <c r="B137" s="2" t="str">
        <f>IF('H.W&amp;S.W&amp;Services'!C151=0,"",'H.W&amp;S.W&amp;Services'!C151)</f>
        <v/>
      </c>
      <c r="C137" s="2" t="str">
        <f>IF('H.W&amp;S.W&amp;Services'!C151=0,"",'H.W&amp;S.W&amp;Services'!C151)</f>
        <v/>
      </c>
      <c r="D137" s="2" t="str">
        <f>IF('H.W&amp;S.W&amp;Services'!H151=0,"",'H.W&amp;S.W&amp;Services'!H151)</f>
        <v/>
      </c>
      <c r="E137" s="2" t="str">
        <f>IF('H.W&amp;S.W&amp;Services'!I151=0,"",'H.W&amp;S.W&amp;Services'!I151)</f>
        <v/>
      </c>
      <c r="F137" s="3" t="str">
        <f>IF('H.W&amp;S.W&amp;Services'!J151=0,"",'H.W&amp;S.W&amp;Services'!J151)</f>
        <v/>
      </c>
      <c r="G137" s="4" t="str">
        <f>IF('H.W&amp;S.W&amp;Services'!O151=0,"",'H.W&amp;S.W&amp;Services'!O151)</f>
        <v/>
      </c>
      <c r="H137" s="2" t="str">
        <f>IF('H.W&amp;S.W&amp;Services'!B151=0,"",'H.W&amp;S.W&amp;Services'!B151) &amp; IF('H.W&amp;S.W&amp;Services'!F151=0,""," / "&amp;'H.W&amp;S.W&amp;Services'!F151) &amp; IF('H.W&amp;S.W&amp;Services'!G151=0,""," / "&amp;'H.W&amp;S.W&amp;Services'!G151)</f>
        <v/>
      </c>
      <c r="I137" t="str">
        <f>IF('H.W&amp;S.W&amp;Services'!D151=0,"",'H.W&amp;S.W&amp;Services'!D151)</f>
        <v/>
      </c>
      <c r="J137" s="2" t="str">
        <f>IF('H.W&amp;S.W&amp;Services'!E151=0,"",'H.W&amp;S.W&amp;Services'!E151)</f>
        <v/>
      </c>
    </row>
    <row r="138" spans="1:10" x14ac:dyDescent="0.2">
      <c r="A138" s="2" t="str">
        <f t="shared" ca="1" si="2"/>
        <v/>
      </c>
      <c r="B138" s="2" t="str">
        <f>IF('H.W&amp;S.W&amp;Services'!C152=0,"",'H.W&amp;S.W&amp;Services'!C152)</f>
        <v/>
      </c>
      <c r="C138" s="2" t="str">
        <f>IF('H.W&amp;S.W&amp;Services'!C152=0,"",'H.W&amp;S.W&amp;Services'!C152)</f>
        <v/>
      </c>
      <c r="D138" s="2" t="str">
        <f>IF('H.W&amp;S.W&amp;Services'!H152=0,"",'H.W&amp;S.W&amp;Services'!H152)</f>
        <v/>
      </c>
      <c r="E138" s="2" t="str">
        <f>IF('H.W&amp;S.W&amp;Services'!I152=0,"",'H.W&amp;S.W&amp;Services'!I152)</f>
        <v/>
      </c>
      <c r="F138" s="3" t="str">
        <f>IF('H.W&amp;S.W&amp;Services'!J152=0,"",'H.W&amp;S.W&amp;Services'!J152)</f>
        <v/>
      </c>
      <c r="G138" s="4" t="str">
        <f>IF('H.W&amp;S.W&amp;Services'!O152=0,"",'H.W&amp;S.W&amp;Services'!O152)</f>
        <v/>
      </c>
      <c r="H138" s="2" t="str">
        <f>IF('H.W&amp;S.W&amp;Services'!B152=0,"",'H.W&amp;S.W&amp;Services'!B152) &amp; IF('H.W&amp;S.W&amp;Services'!F152=0,""," / "&amp;'H.W&amp;S.W&amp;Services'!F152) &amp; IF('H.W&amp;S.W&amp;Services'!G152=0,""," / "&amp;'H.W&amp;S.W&amp;Services'!G152)</f>
        <v/>
      </c>
      <c r="I138" t="str">
        <f>IF('H.W&amp;S.W&amp;Services'!D152=0,"",'H.W&amp;S.W&amp;Services'!D152)</f>
        <v/>
      </c>
      <c r="J138" s="2" t="str">
        <f>IF('H.W&amp;S.W&amp;Services'!E152=0,"",'H.W&amp;S.W&amp;Services'!E152)</f>
        <v/>
      </c>
    </row>
    <row r="139" spans="1:10" x14ac:dyDescent="0.2">
      <c r="A139" s="2" t="str">
        <f t="shared" ca="1" si="2"/>
        <v/>
      </c>
      <c r="B139" s="2" t="str">
        <f>IF('H.W&amp;S.W&amp;Services'!C153=0,"",'H.W&amp;S.W&amp;Services'!C153)</f>
        <v/>
      </c>
      <c r="C139" s="2" t="str">
        <f>IF('H.W&amp;S.W&amp;Services'!C153=0,"",'H.W&amp;S.W&amp;Services'!C153)</f>
        <v/>
      </c>
      <c r="D139" s="2" t="str">
        <f>IF('H.W&amp;S.W&amp;Services'!H153=0,"",'H.W&amp;S.W&amp;Services'!H153)</f>
        <v/>
      </c>
      <c r="E139" s="2" t="str">
        <f>IF('H.W&amp;S.W&amp;Services'!I153=0,"",'H.W&amp;S.W&amp;Services'!I153)</f>
        <v/>
      </c>
      <c r="F139" s="3" t="str">
        <f>IF('H.W&amp;S.W&amp;Services'!J153=0,"",'H.W&amp;S.W&amp;Services'!J153)</f>
        <v/>
      </c>
      <c r="G139" s="4" t="str">
        <f>IF('H.W&amp;S.W&amp;Services'!O153=0,"",'H.W&amp;S.W&amp;Services'!O153)</f>
        <v/>
      </c>
      <c r="H139" s="2" t="str">
        <f>IF('H.W&amp;S.W&amp;Services'!B153=0,"",'H.W&amp;S.W&amp;Services'!B153) &amp; IF('H.W&amp;S.W&amp;Services'!F153=0,""," / "&amp;'H.W&amp;S.W&amp;Services'!F153) &amp; IF('H.W&amp;S.W&amp;Services'!G153=0,""," / "&amp;'H.W&amp;S.W&amp;Services'!G153)</f>
        <v/>
      </c>
      <c r="I139" t="str">
        <f>IF('H.W&amp;S.W&amp;Services'!D153=0,"",'H.W&amp;S.W&amp;Services'!D153)</f>
        <v/>
      </c>
      <c r="J139" s="2" t="str">
        <f>IF('H.W&amp;S.W&amp;Services'!E153=0,"",'H.W&amp;S.W&amp;Services'!E153)</f>
        <v/>
      </c>
    </row>
    <row r="140" spans="1:10" x14ac:dyDescent="0.2">
      <c r="A140" s="2" t="str">
        <f t="shared" ca="1" si="2"/>
        <v/>
      </c>
      <c r="B140" s="2" t="str">
        <f>IF('H.W&amp;S.W&amp;Services'!C154=0,"",'H.W&amp;S.W&amp;Services'!C154)</f>
        <v/>
      </c>
      <c r="C140" s="2" t="str">
        <f>IF('H.W&amp;S.W&amp;Services'!C154=0,"",'H.W&amp;S.W&amp;Services'!C154)</f>
        <v/>
      </c>
      <c r="D140" s="2" t="str">
        <f>IF('H.W&amp;S.W&amp;Services'!H154=0,"",'H.W&amp;S.W&amp;Services'!H154)</f>
        <v/>
      </c>
      <c r="E140" s="2" t="str">
        <f>IF('H.W&amp;S.W&amp;Services'!I154=0,"",'H.W&amp;S.W&amp;Services'!I154)</f>
        <v/>
      </c>
      <c r="F140" s="3" t="str">
        <f>IF('H.W&amp;S.W&amp;Services'!J154=0,"",'H.W&amp;S.W&amp;Services'!J154)</f>
        <v/>
      </c>
      <c r="G140" s="4" t="str">
        <f>IF('H.W&amp;S.W&amp;Services'!O154=0,"",'H.W&amp;S.W&amp;Services'!O154)</f>
        <v/>
      </c>
      <c r="H140" s="2" t="str">
        <f>IF('H.W&amp;S.W&amp;Services'!B154=0,"",'H.W&amp;S.W&amp;Services'!B154) &amp; IF('H.W&amp;S.W&amp;Services'!F154=0,""," / "&amp;'H.W&amp;S.W&amp;Services'!F154) &amp; IF('H.W&amp;S.W&amp;Services'!G154=0,""," / "&amp;'H.W&amp;S.W&amp;Services'!G154)</f>
        <v/>
      </c>
      <c r="I140" t="str">
        <f>IF('H.W&amp;S.W&amp;Services'!D154=0,"",'H.W&amp;S.W&amp;Services'!D154)</f>
        <v/>
      </c>
      <c r="J140" s="2" t="str">
        <f>IF('H.W&amp;S.W&amp;Services'!E154=0,"",'H.W&amp;S.W&amp;Services'!E154)</f>
        <v/>
      </c>
    </row>
    <row r="141" spans="1:10" x14ac:dyDescent="0.2">
      <c r="A141" s="2" t="str">
        <f t="shared" ca="1" si="2"/>
        <v/>
      </c>
      <c r="B141" s="2" t="str">
        <f>IF('H.W&amp;S.W&amp;Services'!C155=0,"",'H.W&amp;S.W&amp;Services'!C155)</f>
        <v/>
      </c>
      <c r="C141" s="2" t="str">
        <f>IF('H.W&amp;S.W&amp;Services'!C155=0,"",'H.W&amp;S.W&amp;Services'!C155)</f>
        <v/>
      </c>
      <c r="D141" s="2" t="str">
        <f>IF('H.W&amp;S.W&amp;Services'!H155=0,"",'H.W&amp;S.W&amp;Services'!H155)</f>
        <v/>
      </c>
      <c r="E141" s="2" t="str">
        <f>IF('H.W&amp;S.W&amp;Services'!I155=0,"",'H.W&amp;S.W&amp;Services'!I155)</f>
        <v/>
      </c>
      <c r="F141" s="3" t="str">
        <f>IF('H.W&amp;S.W&amp;Services'!J155=0,"",'H.W&amp;S.W&amp;Services'!J155)</f>
        <v/>
      </c>
      <c r="G141" s="4" t="str">
        <f>IF('H.W&amp;S.W&amp;Services'!O155=0,"",'H.W&amp;S.W&amp;Services'!O155)</f>
        <v/>
      </c>
      <c r="H141" s="2" t="str">
        <f>IF('H.W&amp;S.W&amp;Services'!B155=0,"",'H.W&amp;S.W&amp;Services'!B155) &amp; IF('H.W&amp;S.W&amp;Services'!F155=0,""," / "&amp;'H.W&amp;S.W&amp;Services'!F155) &amp; IF('H.W&amp;S.W&amp;Services'!G155=0,""," / "&amp;'H.W&amp;S.W&amp;Services'!G155)</f>
        <v/>
      </c>
      <c r="I141" t="str">
        <f>IF('H.W&amp;S.W&amp;Services'!D155=0,"",'H.W&amp;S.W&amp;Services'!D155)</f>
        <v/>
      </c>
      <c r="J141" s="2" t="str">
        <f>IF('H.W&amp;S.W&amp;Services'!E155=0,"",'H.W&amp;S.W&amp;Services'!E155)</f>
        <v/>
      </c>
    </row>
    <row r="142" spans="1:10" x14ac:dyDescent="0.2">
      <c r="A142" s="2" t="str">
        <f t="shared" ca="1" si="2"/>
        <v/>
      </c>
      <c r="B142" s="2" t="str">
        <f>IF('H.W&amp;S.W&amp;Services'!C156=0,"",'H.W&amp;S.W&amp;Services'!C156)</f>
        <v/>
      </c>
      <c r="C142" s="2" t="str">
        <f>IF('H.W&amp;S.W&amp;Services'!C156=0,"",'H.W&amp;S.W&amp;Services'!C156)</f>
        <v/>
      </c>
      <c r="D142" s="2" t="str">
        <f>IF('H.W&amp;S.W&amp;Services'!H156=0,"",'H.W&amp;S.W&amp;Services'!H156)</f>
        <v/>
      </c>
      <c r="E142" s="2" t="str">
        <f>IF('H.W&amp;S.W&amp;Services'!I156=0,"",'H.W&amp;S.W&amp;Services'!I156)</f>
        <v/>
      </c>
      <c r="F142" s="3" t="str">
        <f>IF('H.W&amp;S.W&amp;Services'!J156=0,"",'H.W&amp;S.W&amp;Services'!J156)</f>
        <v/>
      </c>
      <c r="G142" s="4" t="str">
        <f>IF('H.W&amp;S.W&amp;Services'!O156=0,"",'H.W&amp;S.W&amp;Services'!O156)</f>
        <v/>
      </c>
      <c r="H142" s="2" t="str">
        <f>IF('H.W&amp;S.W&amp;Services'!B156=0,"",'H.W&amp;S.W&amp;Services'!B156) &amp; IF('H.W&amp;S.W&amp;Services'!F156=0,""," / "&amp;'H.W&amp;S.W&amp;Services'!F156) &amp; IF('H.W&amp;S.W&amp;Services'!G156=0,""," / "&amp;'H.W&amp;S.W&amp;Services'!G156)</f>
        <v/>
      </c>
      <c r="I142" t="str">
        <f>IF('H.W&amp;S.W&amp;Services'!D156=0,"",'H.W&amp;S.W&amp;Services'!D156)</f>
        <v/>
      </c>
      <c r="J142" s="2" t="str">
        <f>IF('H.W&amp;S.W&amp;Services'!E156=0,"",'H.W&amp;S.W&amp;Services'!E156)</f>
        <v/>
      </c>
    </row>
    <row r="143" spans="1:10" x14ac:dyDescent="0.2">
      <c r="A143" s="2" t="str">
        <f t="shared" ca="1" si="2"/>
        <v/>
      </c>
      <c r="B143" s="2" t="str">
        <f>IF('H.W&amp;S.W&amp;Services'!C157=0,"",'H.W&amp;S.W&amp;Services'!C157)</f>
        <v/>
      </c>
      <c r="C143" s="2" t="str">
        <f>IF('H.W&amp;S.W&amp;Services'!C157=0,"",'H.W&amp;S.W&amp;Services'!C157)</f>
        <v/>
      </c>
      <c r="D143" s="2" t="str">
        <f>IF('H.W&amp;S.W&amp;Services'!H157=0,"",'H.W&amp;S.W&amp;Services'!H157)</f>
        <v/>
      </c>
      <c r="E143" s="2" t="str">
        <f>IF('H.W&amp;S.W&amp;Services'!I157=0,"",'H.W&amp;S.W&amp;Services'!I157)</f>
        <v/>
      </c>
      <c r="F143" s="3" t="str">
        <f>IF('H.W&amp;S.W&amp;Services'!J157=0,"",'H.W&amp;S.W&amp;Services'!J157)</f>
        <v/>
      </c>
      <c r="G143" s="4" t="str">
        <f>IF('H.W&amp;S.W&amp;Services'!O157=0,"",'H.W&amp;S.W&amp;Services'!O157)</f>
        <v/>
      </c>
      <c r="H143" s="2" t="str">
        <f>IF('H.W&amp;S.W&amp;Services'!B157=0,"",'H.W&amp;S.W&amp;Services'!B157) &amp; IF('H.W&amp;S.W&amp;Services'!F157=0,""," / "&amp;'H.W&amp;S.W&amp;Services'!F157) &amp; IF('H.W&amp;S.W&amp;Services'!G157=0,""," / "&amp;'H.W&amp;S.W&amp;Services'!G157)</f>
        <v/>
      </c>
      <c r="I143" t="str">
        <f>IF('H.W&amp;S.W&amp;Services'!D157=0,"",'H.W&amp;S.W&amp;Services'!D157)</f>
        <v/>
      </c>
      <c r="J143" s="2" t="str">
        <f>IF('H.W&amp;S.W&amp;Services'!E157=0,"",'H.W&amp;S.W&amp;Services'!E157)</f>
        <v/>
      </c>
    </row>
    <row r="144" spans="1:10" x14ac:dyDescent="0.2">
      <c r="A144" s="2" t="str">
        <f t="shared" ca="1" si="2"/>
        <v/>
      </c>
      <c r="B144" s="2" t="str">
        <f>IF('H.W&amp;S.W&amp;Services'!C158=0,"",'H.W&amp;S.W&amp;Services'!C158)</f>
        <v/>
      </c>
      <c r="C144" s="2" t="str">
        <f>IF('H.W&amp;S.W&amp;Services'!C158=0,"",'H.W&amp;S.W&amp;Services'!C158)</f>
        <v/>
      </c>
      <c r="D144" s="2" t="str">
        <f>IF('H.W&amp;S.W&amp;Services'!H158=0,"",'H.W&amp;S.W&amp;Services'!H158)</f>
        <v/>
      </c>
      <c r="E144" s="2" t="str">
        <f>IF('H.W&amp;S.W&amp;Services'!I158=0,"",'H.W&amp;S.W&amp;Services'!I158)</f>
        <v/>
      </c>
      <c r="F144" s="3" t="str">
        <f>IF('H.W&amp;S.W&amp;Services'!J158=0,"",'H.W&amp;S.W&amp;Services'!J158)</f>
        <v/>
      </c>
      <c r="G144" s="4" t="str">
        <f>IF('H.W&amp;S.W&amp;Services'!O158=0,"",'H.W&amp;S.W&amp;Services'!O158)</f>
        <v/>
      </c>
      <c r="H144" s="2" t="str">
        <f>IF('H.W&amp;S.W&amp;Services'!B158=0,"",'H.W&amp;S.W&amp;Services'!B158) &amp; IF('H.W&amp;S.W&amp;Services'!F158=0,""," / "&amp;'H.W&amp;S.W&amp;Services'!F158) &amp; IF('H.W&amp;S.W&amp;Services'!G158=0,""," / "&amp;'H.W&amp;S.W&amp;Services'!G158)</f>
        <v/>
      </c>
      <c r="I144" t="str">
        <f>IF('H.W&amp;S.W&amp;Services'!D158=0,"",'H.W&amp;S.W&amp;Services'!D158)</f>
        <v/>
      </c>
      <c r="J144" s="2" t="str">
        <f>IF('H.W&amp;S.W&amp;Services'!E158=0,"",'H.W&amp;S.W&amp;Services'!E158)</f>
        <v/>
      </c>
    </row>
    <row r="145" spans="1:10" x14ac:dyDescent="0.2">
      <c r="A145" s="2" t="str">
        <f t="shared" ca="1" si="2"/>
        <v/>
      </c>
      <c r="B145" s="2" t="str">
        <f>IF('H.W&amp;S.W&amp;Services'!C159=0,"",'H.W&amp;S.W&amp;Services'!C159)</f>
        <v/>
      </c>
      <c r="C145" s="2" t="str">
        <f>IF('H.W&amp;S.W&amp;Services'!C159=0,"",'H.W&amp;S.W&amp;Services'!C159)</f>
        <v/>
      </c>
      <c r="D145" s="2" t="str">
        <f>IF('H.W&amp;S.W&amp;Services'!H159=0,"",'H.W&amp;S.W&amp;Services'!H159)</f>
        <v/>
      </c>
      <c r="E145" s="2" t="str">
        <f>IF('H.W&amp;S.W&amp;Services'!I159=0,"",'H.W&amp;S.W&amp;Services'!I159)</f>
        <v/>
      </c>
      <c r="F145" s="3" t="str">
        <f>IF('H.W&amp;S.W&amp;Services'!J159=0,"",'H.W&amp;S.W&amp;Services'!J159)</f>
        <v/>
      </c>
      <c r="G145" s="4" t="str">
        <f>IF('H.W&amp;S.W&amp;Services'!O159=0,"",'H.W&amp;S.W&amp;Services'!O159)</f>
        <v/>
      </c>
      <c r="H145" s="2" t="str">
        <f>IF('H.W&amp;S.W&amp;Services'!B159=0,"",'H.W&amp;S.W&amp;Services'!B159) &amp; IF('H.W&amp;S.W&amp;Services'!F159=0,""," / "&amp;'H.W&amp;S.W&amp;Services'!F159) &amp; IF('H.W&amp;S.W&amp;Services'!G159=0,""," / "&amp;'H.W&amp;S.W&amp;Services'!G159)</f>
        <v/>
      </c>
      <c r="I145" t="str">
        <f>IF('H.W&amp;S.W&amp;Services'!D159=0,"",'H.W&amp;S.W&amp;Services'!D159)</f>
        <v/>
      </c>
      <c r="J145" s="2" t="str">
        <f>IF('H.W&amp;S.W&amp;Services'!E159=0,"",'H.W&amp;S.W&amp;Services'!E159)</f>
        <v/>
      </c>
    </row>
    <row r="146" spans="1:10" x14ac:dyDescent="0.2">
      <c r="A146" s="2" t="str">
        <f t="shared" ca="1" si="2"/>
        <v/>
      </c>
      <c r="B146" s="2" t="str">
        <f>IF('H.W&amp;S.W&amp;Services'!C160=0,"",'H.W&amp;S.W&amp;Services'!C160)</f>
        <v/>
      </c>
      <c r="C146" s="2" t="str">
        <f>IF('H.W&amp;S.W&amp;Services'!C160=0,"",'H.W&amp;S.W&amp;Services'!C160)</f>
        <v/>
      </c>
      <c r="D146" s="2" t="str">
        <f>IF('H.W&amp;S.W&amp;Services'!H160=0,"",'H.W&amp;S.W&amp;Services'!H160)</f>
        <v/>
      </c>
      <c r="E146" s="2" t="str">
        <f>IF('H.W&amp;S.W&amp;Services'!I160=0,"",'H.W&amp;S.W&amp;Services'!I160)</f>
        <v/>
      </c>
      <c r="F146" s="3" t="str">
        <f>IF('H.W&amp;S.W&amp;Services'!J160=0,"",'H.W&amp;S.W&amp;Services'!J160)</f>
        <v/>
      </c>
      <c r="G146" s="4" t="str">
        <f>IF('H.W&amp;S.W&amp;Services'!O160=0,"",'H.W&amp;S.W&amp;Services'!O160)</f>
        <v/>
      </c>
      <c r="H146" s="2" t="str">
        <f>IF('H.W&amp;S.W&amp;Services'!B160=0,"",'H.W&amp;S.W&amp;Services'!B160) &amp; IF('H.W&amp;S.W&amp;Services'!F160=0,""," / "&amp;'H.W&amp;S.W&amp;Services'!F160) &amp; IF('H.W&amp;S.W&amp;Services'!G160=0,""," / "&amp;'H.W&amp;S.W&amp;Services'!G160)</f>
        <v/>
      </c>
      <c r="I146" t="str">
        <f>IF('H.W&amp;S.W&amp;Services'!D160=0,"",'H.W&amp;S.W&amp;Services'!D160)</f>
        <v/>
      </c>
      <c r="J146" s="2" t="str">
        <f>IF('H.W&amp;S.W&amp;Services'!E160=0,"",'H.W&amp;S.W&amp;Services'!E160)</f>
        <v/>
      </c>
    </row>
    <row r="147" spans="1:10" x14ac:dyDescent="0.2">
      <c r="A147" s="2" t="str">
        <f t="shared" ca="1" si="2"/>
        <v/>
      </c>
      <c r="B147" s="2" t="str">
        <f>IF('H.W&amp;S.W&amp;Services'!C161=0,"",'H.W&amp;S.W&amp;Services'!C161)</f>
        <v/>
      </c>
      <c r="C147" s="2" t="str">
        <f>IF('H.W&amp;S.W&amp;Services'!C161=0,"",'H.W&amp;S.W&amp;Services'!C161)</f>
        <v/>
      </c>
      <c r="D147" s="2" t="str">
        <f>IF('H.W&amp;S.W&amp;Services'!H161=0,"",'H.W&amp;S.W&amp;Services'!H161)</f>
        <v/>
      </c>
      <c r="E147" s="2" t="str">
        <f>IF('H.W&amp;S.W&amp;Services'!I161=0,"",'H.W&amp;S.W&amp;Services'!I161)</f>
        <v/>
      </c>
      <c r="F147" s="3" t="str">
        <f>IF('H.W&amp;S.W&amp;Services'!J161=0,"",'H.W&amp;S.W&amp;Services'!J161)</f>
        <v/>
      </c>
      <c r="G147" s="4" t="str">
        <f>IF('H.W&amp;S.W&amp;Services'!O161=0,"",'H.W&amp;S.W&amp;Services'!O161)</f>
        <v/>
      </c>
      <c r="H147" s="2" t="str">
        <f>IF('H.W&amp;S.W&amp;Services'!B161=0,"",'H.W&amp;S.W&amp;Services'!B161) &amp; IF('H.W&amp;S.W&amp;Services'!F161=0,""," / "&amp;'H.W&amp;S.W&amp;Services'!F161) &amp; IF('H.W&amp;S.W&amp;Services'!G161=0,""," / "&amp;'H.W&amp;S.W&amp;Services'!G161)</f>
        <v/>
      </c>
      <c r="I147" t="str">
        <f>IF('H.W&amp;S.W&amp;Services'!D161=0,"",'H.W&amp;S.W&amp;Services'!D161)</f>
        <v/>
      </c>
      <c r="J147" s="2" t="str">
        <f>IF('H.W&amp;S.W&amp;Services'!E161=0,"",'H.W&amp;S.W&amp;Services'!E161)</f>
        <v/>
      </c>
    </row>
    <row r="148" spans="1:10" x14ac:dyDescent="0.2">
      <c r="A148" s="2" t="str">
        <f t="shared" ca="1" si="2"/>
        <v/>
      </c>
      <c r="B148" s="2" t="str">
        <f>IF('H.W&amp;S.W&amp;Services'!C162=0,"",'H.W&amp;S.W&amp;Services'!C162)</f>
        <v/>
      </c>
      <c r="C148" s="2" t="str">
        <f>IF('H.W&amp;S.W&amp;Services'!C162=0,"",'H.W&amp;S.W&amp;Services'!C162)</f>
        <v/>
      </c>
      <c r="D148" s="2" t="str">
        <f>IF('H.W&amp;S.W&amp;Services'!H162=0,"",'H.W&amp;S.W&amp;Services'!H162)</f>
        <v/>
      </c>
      <c r="E148" s="2" t="str">
        <f>IF('H.W&amp;S.W&amp;Services'!I162=0,"",'H.W&amp;S.W&amp;Services'!I162)</f>
        <v/>
      </c>
      <c r="F148" s="3" t="str">
        <f>IF('H.W&amp;S.W&amp;Services'!J162=0,"",'H.W&amp;S.W&amp;Services'!J162)</f>
        <v/>
      </c>
      <c r="G148" s="4" t="str">
        <f>IF('H.W&amp;S.W&amp;Services'!O162=0,"",'H.W&amp;S.W&amp;Services'!O162)</f>
        <v/>
      </c>
      <c r="H148" s="2" t="str">
        <f>IF('H.W&amp;S.W&amp;Services'!B162=0,"",'H.W&amp;S.W&amp;Services'!B162) &amp; IF('H.W&amp;S.W&amp;Services'!F162=0,""," / "&amp;'H.W&amp;S.W&amp;Services'!F162) &amp; IF('H.W&amp;S.W&amp;Services'!G162=0,""," / "&amp;'H.W&amp;S.W&amp;Services'!G162)</f>
        <v/>
      </c>
      <c r="I148" t="str">
        <f>IF('H.W&amp;S.W&amp;Services'!D162=0,"",'H.W&amp;S.W&amp;Services'!D162)</f>
        <v/>
      </c>
      <c r="J148" s="2" t="str">
        <f>IF('H.W&amp;S.W&amp;Services'!E162=0,"",'H.W&amp;S.W&amp;Services'!E162)</f>
        <v/>
      </c>
    </row>
    <row r="149" spans="1:10" x14ac:dyDescent="0.2">
      <c r="A149" s="2" t="str">
        <f t="shared" ca="1" si="2"/>
        <v/>
      </c>
      <c r="B149" s="2" t="str">
        <f>IF('H.W&amp;S.W&amp;Services'!C163=0,"",'H.W&amp;S.W&amp;Services'!C163)</f>
        <v/>
      </c>
      <c r="C149" s="2" t="str">
        <f>IF('H.W&amp;S.W&amp;Services'!C163=0,"",'H.W&amp;S.W&amp;Services'!C163)</f>
        <v/>
      </c>
      <c r="D149" s="2" t="str">
        <f>IF('H.W&amp;S.W&amp;Services'!H163=0,"",'H.W&amp;S.W&amp;Services'!H163)</f>
        <v/>
      </c>
      <c r="E149" s="2" t="str">
        <f>IF('H.W&amp;S.W&amp;Services'!I163=0,"",'H.W&amp;S.W&amp;Services'!I163)</f>
        <v/>
      </c>
      <c r="F149" s="3" t="str">
        <f>IF('H.W&amp;S.W&amp;Services'!J163=0,"",'H.W&amp;S.W&amp;Services'!J163)</f>
        <v/>
      </c>
      <c r="G149" s="4" t="str">
        <f>IF('H.W&amp;S.W&amp;Services'!O163=0,"",'H.W&amp;S.W&amp;Services'!O163)</f>
        <v/>
      </c>
      <c r="H149" s="2" t="str">
        <f>IF('H.W&amp;S.W&amp;Services'!B163=0,"",'H.W&amp;S.W&amp;Services'!B163) &amp; IF('H.W&amp;S.W&amp;Services'!F163=0,""," / "&amp;'H.W&amp;S.W&amp;Services'!F163) &amp; IF('H.W&amp;S.W&amp;Services'!G163=0,""," / "&amp;'H.W&amp;S.W&amp;Services'!G163)</f>
        <v/>
      </c>
      <c r="I149" t="str">
        <f>IF('H.W&amp;S.W&amp;Services'!D163=0,"",'H.W&amp;S.W&amp;Services'!D163)</f>
        <v/>
      </c>
      <c r="J149" s="2" t="str">
        <f>IF('H.W&amp;S.W&amp;Services'!E163=0,"",'H.W&amp;S.W&amp;Services'!E163)</f>
        <v/>
      </c>
    </row>
    <row r="150" spans="1:10" x14ac:dyDescent="0.2">
      <c r="A150" s="2" t="str">
        <f t="shared" ca="1" si="2"/>
        <v/>
      </c>
      <c r="B150" s="2" t="str">
        <f>IF('H.W&amp;S.W&amp;Services'!C164=0,"",'H.W&amp;S.W&amp;Services'!C164)</f>
        <v/>
      </c>
      <c r="C150" s="2" t="str">
        <f>IF('H.W&amp;S.W&amp;Services'!C164=0,"",'H.W&amp;S.W&amp;Services'!C164)</f>
        <v/>
      </c>
      <c r="D150" s="2" t="str">
        <f>IF('H.W&amp;S.W&amp;Services'!H164=0,"",'H.W&amp;S.W&amp;Services'!H164)</f>
        <v/>
      </c>
      <c r="E150" s="2" t="str">
        <f>IF('H.W&amp;S.W&amp;Services'!I164=0,"",'H.W&amp;S.W&amp;Services'!I164)</f>
        <v/>
      </c>
      <c r="F150" s="3" t="str">
        <f>IF('H.W&amp;S.W&amp;Services'!J164=0,"",'H.W&amp;S.W&amp;Services'!J164)</f>
        <v/>
      </c>
      <c r="G150" s="4" t="str">
        <f>IF('H.W&amp;S.W&amp;Services'!O164=0,"",'H.W&amp;S.W&amp;Services'!O164)</f>
        <v/>
      </c>
      <c r="H150" s="2" t="str">
        <f>IF('H.W&amp;S.W&amp;Services'!B164=0,"",'H.W&amp;S.W&amp;Services'!B164) &amp; IF('H.W&amp;S.W&amp;Services'!F164=0,""," / "&amp;'H.W&amp;S.W&amp;Services'!F164) &amp; IF('H.W&amp;S.W&amp;Services'!G164=0,""," / "&amp;'H.W&amp;S.W&amp;Services'!G164)</f>
        <v/>
      </c>
      <c r="I150" t="str">
        <f>IF('H.W&amp;S.W&amp;Services'!D164=0,"",'H.W&amp;S.W&amp;Services'!D164)</f>
        <v/>
      </c>
      <c r="J150" s="2" t="str">
        <f>IF('H.W&amp;S.W&amp;Services'!E164=0,"",'H.W&amp;S.W&amp;Services'!E164)</f>
        <v/>
      </c>
    </row>
    <row r="151" spans="1:10" x14ac:dyDescent="0.2">
      <c r="A151" s="2" t="str">
        <f t="shared" ca="1" si="2"/>
        <v/>
      </c>
      <c r="B151" s="2" t="str">
        <f>IF('H.W&amp;S.W&amp;Services'!C165=0,"",'H.W&amp;S.W&amp;Services'!C165)</f>
        <v/>
      </c>
      <c r="C151" s="2" t="str">
        <f>IF('H.W&amp;S.W&amp;Services'!C165=0,"",'H.W&amp;S.W&amp;Services'!C165)</f>
        <v/>
      </c>
      <c r="D151" s="2" t="str">
        <f>IF('H.W&amp;S.W&amp;Services'!H165=0,"",'H.W&amp;S.W&amp;Services'!H165)</f>
        <v/>
      </c>
      <c r="E151" s="2" t="str">
        <f>IF('H.W&amp;S.W&amp;Services'!I165=0,"",'H.W&amp;S.W&amp;Services'!I165)</f>
        <v/>
      </c>
      <c r="F151" s="3" t="str">
        <f>IF('H.W&amp;S.W&amp;Services'!J165=0,"",'H.W&amp;S.W&amp;Services'!J165)</f>
        <v/>
      </c>
      <c r="G151" s="4" t="str">
        <f>IF('H.W&amp;S.W&amp;Services'!O165=0,"",'H.W&amp;S.W&amp;Services'!O165)</f>
        <v/>
      </c>
      <c r="H151" s="2" t="str">
        <f>IF('H.W&amp;S.W&amp;Services'!B165=0,"",'H.W&amp;S.W&amp;Services'!B165) &amp; IF('H.W&amp;S.W&amp;Services'!F165=0,""," / "&amp;'H.W&amp;S.W&amp;Services'!F165) &amp; IF('H.W&amp;S.W&amp;Services'!G165=0,""," / "&amp;'H.W&amp;S.W&amp;Services'!G165)</f>
        <v/>
      </c>
      <c r="I151" t="str">
        <f>IF('H.W&amp;S.W&amp;Services'!D165=0,"",'H.W&amp;S.W&amp;Services'!D165)</f>
        <v/>
      </c>
      <c r="J151" s="2" t="str">
        <f>IF('H.W&amp;S.W&amp;Services'!E165=0,"",'H.W&amp;S.W&amp;Services'!E165)</f>
        <v/>
      </c>
    </row>
    <row r="152" spans="1:10" x14ac:dyDescent="0.2">
      <c r="A152" s="2" t="str">
        <f t="shared" ca="1" si="2"/>
        <v/>
      </c>
      <c r="B152" s="2" t="str">
        <f>IF('H.W&amp;S.W&amp;Services'!C166=0,"",'H.W&amp;S.W&amp;Services'!C166)</f>
        <v/>
      </c>
      <c r="C152" s="2" t="str">
        <f>IF('H.W&amp;S.W&amp;Services'!C166=0,"",'H.W&amp;S.W&amp;Services'!C166)</f>
        <v/>
      </c>
      <c r="D152" s="2" t="str">
        <f>IF('H.W&amp;S.W&amp;Services'!H166=0,"",'H.W&amp;S.W&amp;Services'!H166)</f>
        <v/>
      </c>
      <c r="E152" s="2" t="str">
        <f>IF('H.W&amp;S.W&amp;Services'!I166=0,"",'H.W&amp;S.W&amp;Services'!I166)</f>
        <v/>
      </c>
      <c r="F152" s="3" t="str">
        <f>IF('H.W&amp;S.W&amp;Services'!J166=0,"",'H.W&amp;S.W&amp;Services'!J166)</f>
        <v/>
      </c>
      <c r="G152" s="4" t="str">
        <f>IF('H.W&amp;S.W&amp;Services'!O166=0,"",'H.W&amp;S.W&amp;Services'!O166)</f>
        <v/>
      </c>
      <c r="H152" s="2" t="str">
        <f>IF('H.W&amp;S.W&amp;Services'!B166=0,"",'H.W&amp;S.W&amp;Services'!B166) &amp; IF('H.W&amp;S.W&amp;Services'!F166=0,""," / "&amp;'H.W&amp;S.W&amp;Services'!F166) &amp; IF('H.W&amp;S.W&amp;Services'!G166=0,""," / "&amp;'H.W&amp;S.W&amp;Services'!G166)</f>
        <v/>
      </c>
      <c r="I152" t="str">
        <f>IF('H.W&amp;S.W&amp;Services'!D166=0,"",'H.W&amp;S.W&amp;Services'!D166)</f>
        <v/>
      </c>
      <c r="J152" s="2" t="str">
        <f>IF('H.W&amp;S.W&amp;Services'!E166=0,"",'H.W&amp;S.W&amp;Services'!E166)</f>
        <v/>
      </c>
    </row>
    <row r="153" spans="1:10" x14ac:dyDescent="0.2">
      <c r="A153" s="2" t="str">
        <f t="shared" ca="1" si="2"/>
        <v/>
      </c>
      <c r="B153" s="2" t="str">
        <f>IF('H.W&amp;S.W&amp;Services'!C167=0,"",'H.W&amp;S.W&amp;Services'!C167)</f>
        <v/>
      </c>
      <c r="C153" s="2" t="str">
        <f>IF('H.W&amp;S.W&amp;Services'!C167=0,"",'H.W&amp;S.W&amp;Services'!C167)</f>
        <v/>
      </c>
      <c r="D153" s="2" t="str">
        <f>IF('H.W&amp;S.W&amp;Services'!H167=0,"",'H.W&amp;S.W&amp;Services'!H167)</f>
        <v/>
      </c>
      <c r="E153" s="2" t="str">
        <f>IF('H.W&amp;S.W&amp;Services'!I167=0,"",'H.W&amp;S.W&amp;Services'!I167)</f>
        <v/>
      </c>
      <c r="F153" s="3" t="str">
        <f>IF('H.W&amp;S.W&amp;Services'!J167=0,"",'H.W&amp;S.W&amp;Services'!J167)</f>
        <v/>
      </c>
      <c r="G153" s="4" t="str">
        <f>IF('H.W&amp;S.W&amp;Services'!O167=0,"",'H.W&amp;S.W&amp;Services'!O167)</f>
        <v/>
      </c>
      <c r="H153" s="2" t="str">
        <f>IF('H.W&amp;S.W&amp;Services'!B167=0,"",'H.W&amp;S.W&amp;Services'!B167) &amp; IF('H.W&amp;S.W&amp;Services'!F167=0,""," / "&amp;'H.W&amp;S.W&amp;Services'!F167) &amp; IF('H.W&amp;S.W&amp;Services'!G167=0,""," / "&amp;'H.W&amp;S.W&amp;Services'!G167)</f>
        <v/>
      </c>
      <c r="I153" t="str">
        <f>IF('H.W&amp;S.W&amp;Services'!D167=0,"",'H.W&amp;S.W&amp;Services'!D167)</f>
        <v/>
      </c>
      <c r="J153" s="2" t="str">
        <f>IF('H.W&amp;S.W&amp;Services'!E167=0,"",'H.W&amp;S.W&amp;Services'!E167)</f>
        <v/>
      </c>
    </row>
    <row r="154" spans="1:10" x14ac:dyDescent="0.2">
      <c r="A154" s="2" t="str">
        <f t="shared" ca="1" si="2"/>
        <v/>
      </c>
      <c r="B154" s="2" t="str">
        <f>IF('H.W&amp;S.W&amp;Services'!C168=0,"",'H.W&amp;S.W&amp;Services'!C168)</f>
        <v/>
      </c>
      <c r="C154" s="2" t="str">
        <f>IF('H.W&amp;S.W&amp;Services'!C168=0,"",'H.W&amp;S.W&amp;Services'!C168)</f>
        <v/>
      </c>
      <c r="D154" s="2" t="str">
        <f>IF('H.W&amp;S.W&amp;Services'!H168=0,"",'H.W&amp;S.W&amp;Services'!H168)</f>
        <v/>
      </c>
      <c r="E154" s="2" t="str">
        <f>IF('H.W&amp;S.W&amp;Services'!I168=0,"",'H.W&amp;S.W&amp;Services'!I168)</f>
        <v/>
      </c>
      <c r="F154" s="3" t="str">
        <f>IF('H.W&amp;S.W&amp;Services'!J168=0,"",'H.W&amp;S.W&amp;Services'!J168)</f>
        <v/>
      </c>
      <c r="G154" s="4" t="str">
        <f>IF('H.W&amp;S.W&amp;Services'!O168=0,"",'H.W&amp;S.W&amp;Services'!O168)</f>
        <v/>
      </c>
      <c r="H154" s="2" t="str">
        <f>IF('H.W&amp;S.W&amp;Services'!B168=0,"",'H.W&amp;S.W&amp;Services'!B168) &amp; IF('H.W&amp;S.W&amp;Services'!F168=0,""," / "&amp;'H.W&amp;S.W&amp;Services'!F168) &amp; IF('H.W&amp;S.W&amp;Services'!G168=0,""," / "&amp;'H.W&amp;S.W&amp;Services'!G168)</f>
        <v/>
      </c>
      <c r="I154" t="str">
        <f>IF('H.W&amp;S.W&amp;Services'!D168=0,"",'H.W&amp;S.W&amp;Services'!D168)</f>
        <v/>
      </c>
      <c r="J154" s="2" t="str">
        <f>IF('H.W&amp;S.W&amp;Services'!E168=0,"",'H.W&amp;S.W&amp;Services'!E168)</f>
        <v/>
      </c>
    </row>
    <row r="155" spans="1:10" x14ac:dyDescent="0.2">
      <c r="A155" s="2" t="str">
        <f t="shared" ca="1" si="2"/>
        <v/>
      </c>
      <c r="B155" s="2" t="str">
        <f>IF('H.W&amp;S.W&amp;Services'!C169=0,"",'H.W&amp;S.W&amp;Services'!C169)</f>
        <v/>
      </c>
      <c r="C155" s="2" t="str">
        <f>IF('H.W&amp;S.W&amp;Services'!C169=0,"",'H.W&amp;S.W&amp;Services'!C169)</f>
        <v/>
      </c>
      <c r="D155" s="2" t="str">
        <f>IF('H.W&amp;S.W&amp;Services'!H169=0,"",'H.W&amp;S.W&amp;Services'!H169)</f>
        <v/>
      </c>
      <c r="E155" s="2" t="str">
        <f>IF('H.W&amp;S.W&amp;Services'!I169=0,"",'H.W&amp;S.W&amp;Services'!I169)</f>
        <v/>
      </c>
      <c r="F155" s="3" t="str">
        <f>IF('H.W&amp;S.W&amp;Services'!J169=0,"",'H.W&amp;S.W&amp;Services'!J169)</f>
        <v/>
      </c>
      <c r="G155" s="4" t="str">
        <f>IF('H.W&amp;S.W&amp;Services'!O169=0,"",'H.W&amp;S.W&amp;Services'!O169)</f>
        <v/>
      </c>
      <c r="H155" s="2" t="str">
        <f>IF('H.W&amp;S.W&amp;Services'!B169=0,"",'H.W&amp;S.W&amp;Services'!B169) &amp; IF('H.W&amp;S.W&amp;Services'!F169=0,""," / "&amp;'H.W&amp;S.W&amp;Services'!F169) &amp; IF('H.W&amp;S.W&amp;Services'!G169=0,""," / "&amp;'H.W&amp;S.W&amp;Services'!G169)</f>
        <v/>
      </c>
      <c r="I155" t="str">
        <f>IF('H.W&amp;S.W&amp;Services'!D169=0,"",'H.W&amp;S.W&amp;Services'!D169)</f>
        <v/>
      </c>
      <c r="J155" s="2" t="str">
        <f>IF('H.W&amp;S.W&amp;Services'!E169=0,"",'H.W&amp;S.W&amp;Services'!E169)</f>
        <v/>
      </c>
    </row>
    <row r="156" spans="1:10" x14ac:dyDescent="0.2">
      <c r="A156" s="2" t="str">
        <f t="shared" ca="1" si="2"/>
        <v/>
      </c>
      <c r="B156" s="2" t="str">
        <f>IF('H.W&amp;S.W&amp;Services'!C170=0,"",'H.W&amp;S.W&amp;Services'!C170)</f>
        <v/>
      </c>
      <c r="C156" s="2" t="str">
        <f>IF('H.W&amp;S.W&amp;Services'!C170=0,"",'H.W&amp;S.W&amp;Services'!C170)</f>
        <v/>
      </c>
      <c r="D156" s="2" t="str">
        <f>IF('H.W&amp;S.W&amp;Services'!H170=0,"",'H.W&amp;S.W&amp;Services'!H170)</f>
        <v/>
      </c>
      <c r="E156" s="2" t="str">
        <f>IF('H.W&amp;S.W&amp;Services'!I170=0,"",'H.W&amp;S.W&amp;Services'!I170)</f>
        <v/>
      </c>
      <c r="F156" s="3" t="str">
        <f>IF('H.W&amp;S.W&amp;Services'!J170=0,"",'H.W&amp;S.W&amp;Services'!J170)</f>
        <v/>
      </c>
      <c r="G156" s="4" t="str">
        <f>IF('H.W&amp;S.W&amp;Services'!O170=0,"",'H.W&amp;S.W&amp;Services'!O170)</f>
        <v/>
      </c>
      <c r="H156" s="2" t="str">
        <f>IF('H.W&amp;S.W&amp;Services'!B170=0,"",'H.W&amp;S.W&amp;Services'!B170) &amp; IF('H.W&amp;S.W&amp;Services'!F170=0,""," / "&amp;'H.W&amp;S.W&amp;Services'!F170) &amp; IF('H.W&amp;S.W&amp;Services'!G170=0,""," / "&amp;'H.W&amp;S.W&amp;Services'!G170)</f>
        <v/>
      </c>
      <c r="I156" t="str">
        <f>IF('H.W&amp;S.W&amp;Services'!D170=0,"",'H.W&amp;S.W&amp;Services'!D170)</f>
        <v/>
      </c>
      <c r="J156" s="2" t="str">
        <f>IF('H.W&amp;S.W&amp;Services'!E170=0,"",'H.W&amp;S.W&amp;Services'!E170)</f>
        <v/>
      </c>
    </row>
    <row r="157" spans="1:10" x14ac:dyDescent="0.2">
      <c r="A157" s="2" t="str">
        <f t="shared" ca="1" si="2"/>
        <v/>
      </c>
      <c r="B157" s="2" t="str">
        <f>IF('H.W&amp;S.W&amp;Services'!C171=0,"",'H.W&amp;S.W&amp;Services'!C171)</f>
        <v/>
      </c>
      <c r="C157" s="2" t="str">
        <f>IF('H.W&amp;S.W&amp;Services'!C171=0,"",'H.W&amp;S.W&amp;Services'!C171)</f>
        <v/>
      </c>
      <c r="D157" s="2" t="str">
        <f>IF('H.W&amp;S.W&amp;Services'!H171=0,"",'H.W&amp;S.W&amp;Services'!H171)</f>
        <v/>
      </c>
      <c r="E157" s="2" t="str">
        <f>IF('H.W&amp;S.W&amp;Services'!I171=0,"",'H.W&amp;S.W&amp;Services'!I171)</f>
        <v/>
      </c>
      <c r="F157" s="3" t="str">
        <f>IF('H.W&amp;S.W&amp;Services'!J171=0,"",'H.W&amp;S.W&amp;Services'!J171)</f>
        <v/>
      </c>
      <c r="G157" s="4" t="str">
        <f>IF('H.W&amp;S.W&amp;Services'!O171=0,"",'H.W&amp;S.W&amp;Services'!O171)</f>
        <v/>
      </c>
      <c r="H157" s="2" t="str">
        <f>IF('H.W&amp;S.W&amp;Services'!B171=0,"",'H.W&amp;S.W&amp;Services'!B171) &amp; IF('H.W&amp;S.W&amp;Services'!F171=0,""," / "&amp;'H.W&amp;S.W&amp;Services'!F171) &amp; IF('H.W&amp;S.W&amp;Services'!G171=0,""," / "&amp;'H.W&amp;S.W&amp;Services'!G171)</f>
        <v/>
      </c>
      <c r="I157" t="str">
        <f>IF('H.W&amp;S.W&amp;Services'!D171=0,"",'H.W&amp;S.W&amp;Services'!D171)</f>
        <v/>
      </c>
      <c r="J157" s="2" t="str">
        <f>IF('H.W&amp;S.W&amp;Services'!E171=0,"",'H.W&amp;S.W&amp;Services'!E171)</f>
        <v/>
      </c>
    </row>
    <row r="158" spans="1:10" x14ac:dyDescent="0.2">
      <c r="A158" s="2" t="str">
        <f t="shared" ca="1" si="2"/>
        <v/>
      </c>
      <c r="B158" s="2" t="str">
        <f>IF('H.W&amp;S.W&amp;Services'!C172=0,"",'H.W&amp;S.W&amp;Services'!C172)</f>
        <v/>
      </c>
      <c r="C158" s="2" t="str">
        <f>IF('H.W&amp;S.W&amp;Services'!C172=0,"",'H.W&amp;S.W&amp;Services'!C172)</f>
        <v/>
      </c>
      <c r="D158" s="2" t="str">
        <f>IF('H.W&amp;S.W&amp;Services'!H172=0,"",'H.W&amp;S.W&amp;Services'!H172)</f>
        <v/>
      </c>
      <c r="E158" s="2" t="str">
        <f>IF('H.W&amp;S.W&amp;Services'!I172=0,"",'H.W&amp;S.W&amp;Services'!I172)</f>
        <v/>
      </c>
      <c r="F158" s="3" t="str">
        <f>IF('H.W&amp;S.W&amp;Services'!J172=0,"",'H.W&amp;S.W&amp;Services'!J172)</f>
        <v/>
      </c>
      <c r="G158" s="4" t="str">
        <f>IF('H.W&amp;S.W&amp;Services'!O172=0,"",'H.W&amp;S.W&amp;Services'!O172)</f>
        <v/>
      </c>
      <c r="H158" s="2" t="str">
        <f>IF('H.W&amp;S.W&amp;Services'!B172=0,"",'H.W&amp;S.W&amp;Services'!B172) &amp; IF('H.W&amp;S.W&amp;Services'!F172=0,""," / "&amp;'H.W&amp;S.W&amp;Services'!F172) &amp; IF('H.W&amp;S.W&amp;Services'!G172=0,""," / "&amp;'H.W&amp;S.W&amp;Services'!G172)</f>
        <v/>
      </c>
      <c r="I158" t="str">
        <f>IF('H.W&amp;S.W&amp;Services'!D172=0,"",'H.W&amp;S.W&amp;Services'!D172)</f>
        <v/>
      </c>
      <c r="J158" s="2" t="str">
        <f>IF('H.W&amp;S.W&amp;Services'!E172=0,"",'H.W&amp;S.W&amp;Services'!E172)</f>
        <v/>
      </c>
    </row>
    <row r="159" spans="1:10" x14ac:dyDescent="0.2">
      <c r="A159" s="2" t="str">
        <f t="shared" ca="1" si="2"/>
        <v/>
      </c>
      <c r="B159" s="2" t="str">
        <f>IF('H.W&amp;S.W&amp;Services'!C173=0,"",'H.W&amp;S.W&amp;Services'!C173)</f>
        <v/>
      </c>
      <c r="C159" s="2" t="str">
        <f>IF('H.W&amp;S.W&amp;Services'!C173=0,"",'H.W&amp;S.W&amp;Services'!C173)</f>
        <v/>
      </c>
      <c r="D159" s="2" t="str">
        <f>IF('H.W&amp;S.W&amp;Services'!H173=0,"",'H.W&amp;S.W&amp;Services'!H173)</f>
        <v/>
      </c>
      <c r="E159" s="2" t="str">
        <f>IF('H.W&amp;S.W&amp;Services'!I173=0,"",'H.W&amp;S.W&amp;Services'!I173)</f>
        <v/>
      </c>
      <c r="F159" s="3" t="str">
        <f>IF('H.W&amp;S.W&amp;Services'!J173=0,"",'H.W&amp;S.W&amp;Services'!J173)</f>
        <v/>
      </c>
      <c r="G159" s="4" t="str">
        <f>IF('H.W&amp;S.W&amp;Services'!O173=0,"",'H.W&amp;S.W&amp;Services'!O173)</f>
        <v/>
      </c>
      <c r="H159" s="2" t="str">
        <f>IF('H.W&amp;S.W&amp;Services'!B173=0,"",'H.W&amp;S.W&amp;Services'!B173) &amp; IF('H.W&amp;S.W&amp;Services'!F173=0,""," / "&amp;'H.W&amp;S.W&amp;Services'!F173) &amp; IF('H.W&amp;S.W&amp;Services'!G173=0,""," / "&amp;'H.W&amp;S.W&amp;Services'!G173)</f>
        <v/>
      </c>
      <c r="I159" t="str">
        <f>IF('H.W&amp;S.W&amp;Services'!D173=0,"",'H.W&amp;S.W&amp;Services'!D173)</f>
        <v/>
      </c>
      <c r="J159" s="2" t="str">
        <f>IF('H.W&amp;S.W&amp;Services'!E173=0,"",'H.W&amp;S.W&amp;Services'!E173)</f>
        <v/>
      </c>
    </row>
    <row r="160" spans="1:10" x14ac:dyDescent="0.2">
      <c r="A160" s="2" t="str">
        <f t="shared" ca="1" si="2"/>
        <v/>
      </c>
      <c r="B160" s="2" t="str">
        <f>IF('H.W&amp;S.W&amp;Services'!C174=0,"",'H.W&amp;S.W&amp;Services'!C174)</f>
        <v/>
      </c>
      <c r="C160" s="2" t="str">
        <f>IF('H.W&amp;S.W&amp;Services'!C174=0,"",'H.W&amp;S.W&amp;Services'!C174)</f>
        <v/>
      </c>
      <c r="D160" s="2" t="str">
        <f>IF('H.W&amp;S.W&amp;Services'!H174=0,"",'H.W&amp;S.W&amp;Services'!H174)</f>
        <v/>
      </c>
      <c r="E160" s="2" t="str">
        <f>IF('H.W&amp;S.W&amp;Services'!I174=0,"",'H.W&amp;S.W&amp;Services'!I174)</f>
        <v/>
      </c>
      <c r="F160" s="3" t="str">
        <f>IF('H.W&amp;S.W&amp;Services'!J174=0,"",'H.W&amp;S.W&amp;Services'!J174)</f>
        <v/>
      </c>
      <c r="G160" s="4" t="str">
        <f>IF('H.W&amp;S.W&amp;Services'!O174=0,"",'H.W&amp;S.W&amp;Services'!O174)</f>
        <v/>
      </c>
      <c r="H160" s="2" t="str">
        <f>IF('H.W&amp;S.W&amp;Services'!B174=0,"",'H.W&amp;S.W&amp;Services'!B174) &amp; IF('H.W&amp;S.W&amp;Services'!F174=0,""," / "&amp;'H.W&amp;S.W&amp;Services'!F174) &amp; IF('H.W&amp;S.W&amp;Services'!G174=0,""," / "&amp;'H.W&amp;S.W&amp;Services'!G174)</f>
        <v/>
      </c>
      <c r="I160" t="str">
        <f>IF('H.W&amp;S.W&amp;Services'!D174=0,"",'H.W&amp;S.W&amp;Services'!D174)</f>
        <v/>
      </c>
      <c r="J160" s="2" t="str">
        <f>IF('H.W&amp;S.W&amp;Services'!E174=0,"",'H.W&amp;S.W&amp;Services'!E174)</f>
        <v/>
      </c>
    </row>
    <row r="161" spans="1:10" x14ac:dyDescent="0.2">
      <c r="A161" s="2" t="str">
        <f t="shared" ca="1" si="2"/>
        <v/>
      </c>
      <c r="B161" s="2" t="str">
        <f>IF('H.W&amp;S.W&amp;Services'!C175=0,"",'H.W&amp;S.W&amp;Services'!C175)</f>
        <v/>
      </c>
      <c r="C161" s="2" t="str">
        <f>IF('H.W&amp;S.W&amp;Services'!C175=0,"",'H.W&amp;S.W&amp;Services'!C175)</f>
        <v/>
      </c>
      <c r="D161" s="2" t="str">
        <f>IF('H.W&amp;S.W&amp;Services'!H175=0,"",'H.W&amp;S.W&amp;Services'!H175)</f>
        <v/>
      </c>
      <c r="E161" s="2" t="str">
        <f>IF('H.W&amp;S.W&amp;Services'!I175=0,"",'H.W&amp;S.W&amp;Services'!I175)</f>
        <v/>
      </c>
      <c r="F161" s="3" t="str">
        <f>IF('H.W&amp;S.W&amp;Services'!J175=0,"",'H.W&amp;S.W&amp;Services'!J175)</f>
        <v/>
      </c>
      <c r="G161" s="4" t="str">
        <f>IF('H.W&amp;S.W&amp;Services'!O175=0,"",'H.W&amp;S.W&amp;Services'!O175)</f>
        <v/>
      </c>
      <c r="H161" s="2" t="str">
        <f>IF('H.W&amp;S.W&amp;Services'!B175=0,"",'H.W&amp;S.W&amp;Services'!B175) &amp; IF('H.W&amp;S.W&amp;Services'!F175=0,""," / "&amp;'H.W&amp;S.W&amp;Services'!F175) &amp; IF('H.W&amp;S.W&amp;Services'!G175=0,""," / "&amp;'H.W&amp;S.W&amp;Services'!G175)</f>
        <v/>
      </c>
      <c r="I161" t="str">
        <f>IF('H.W&amp;S.W&amp;Services'!D175=0,"",'H.W&amp;S.W&amp;Services'!D175)</f>
        <v/>
      </c>
      <c r="J161" s="2" t="str">
        <f>IF('H.W&amp;S.W&amp;Services'!E175=0,"",'H.W&amp;S.W&amp;Services'!E175)</f>
        <v/>
      </c>
    </row>
    <row r="162" spans="1:10" x14ac:dyDescent="0.2">
      <c r="A162" s="2" t="str">
        <f t="shared" ca="1" si="2"/>
        <v/>
      </c>
      <c r="B162" s="2" t="str">
        <f>IF('H.W&amp;S.W&amp;Services'!C176=0,"",'H.W&amp;S.W&amp;Services'!C176)</f>
        <v/>
      </c>
      <c r="C162" s="2" t="str">
        <f>IF('H.W&amp;S.W&amp;Services'!C176=0,"",'H.W&amp;S.W&amp;Services'!C176)</f>
        <v/>
      </c>
      <c r="D162" s="2" t="str">
        <f>IF('H.W&amp;S.W&amp;Services'!H176=0,"",'H.W&amp;S.W&amp;Services'!H176)</f>
        <v/>
      </c>
      <c r="E162" s="2" t="str">
        <f>IF('H.W&amp;S.W&amp;Services'!I176=0,"",'H.W&amp;S.W&amp;Services'!I176)</f>
        <v/>
      </c>
      <c r="F162" s="3" t="str">
        <f>IF('H.W&amp;S.W&amp;Services'!J176=0,"",'H.W&amp;S.W&amp;Services'!J176)</f>
        <v/>
      </c>
      <c r="G162" s="4" t="str">
        <f>IF('H.W&amp;S.W&amp;Services'!O176=0,"",'H.W&amp;S.W&amp;Services'!O176)</f>
        <v/>
      </c>
      <c r="H162" s="2" t="str">
        <f>IF('H.W&amp;S.W&amp;Services'!B176=0,"",'H.W&amp;S.W&amp;Services'!B176) &amp; IF('H.W&amp;S.W&amp;Services'!F176=0,""," / "&amp;'H.W&amp;S.W&amp;Services'!F176) &amp; IF('H.W&amp;S.W&amp;Services'!G176=0,""," / "&amp;'H.W&amp;S.W&amp;Services'!G176)</f>
        <v/>
      </c>
      <c r="I162" t="str">
        <f>IF('H.W&amp;S.W&amp;Services'!D176=0,"",'H.W&amp;S.W&amp;Services'!D176)</f>
        <v/>
      </c>
      <c r="J162" s="2" t="str">
        <f>IF('H.W&amp;S.W&amp;Services'!E176=0,"",'H.W&amp;S.W&amp;Services'!E176)</f>
        <v/>
      </c>
    </row>
    <row r="163" spans="1:10" x14ac:dyDescent="0.2">
      <c r="A163" s="2" t="str">
        <f t="shared" ca="1" si="2"/>
        <v/>
      </c>
      <c r="B163" s="2" t="str">
        <f>IF('H.W&amp;S.W&amp;Services'!C177=0,"",'H.W&amp;S.W&amp;Services'!C177)</f>
        <v/>
      </c>
      <c r="C163" s="2" t="str">
        <f>IF('H.W&amp;S.W&amp;Services'!C177=0,"",'H.W&amp;S.W&amp;Services'!C177)</f>
        <v/>
      </c>
      <c r="D163" s="2" t="str">
        <f>IF('H.W&amp;S.W&amp;Services'!H177=0,"",'H.W&amp;S.W&amp;Services'!H177)</f>
        <v/>
      </c>
      <c r="E163" s="2" t="str">
        <f>IF('H.W&amp;S.W&amp;Services'!I177=0,"",'H.W&amp;S.W&amp;Services'!I177)</f>
        <v/>
      </c>
      <c r="F163" s="3" t="str">
        <f>IF('H.W&amp;S.W&amp;Services'!J177=0,"",'H.W&amp;S.W&amp;Services'!J177)</f>
        <v/>
      </c>
      <c r="G163" s="4" t="str">
        <f>IF('H.W&amp;S.W&amp;Services'!O177=0,"",'H.W&amp;S.W&amp;Services'!O177)</f>
        <v/>
      </c>
      <c r="H163" s="2" t="str">
        <f>IF('H.W&amp;S.W&amp;Services'!B177=0,"",'H.W&amp;S.W&amp;Services'!B177) &amp; IF('H.W&amp;S.W&amp;Services'!F177=0,""," / "&amp;'H.W&amp;S.W&amp;Services'!F177) &amp; IF('H.W&amp;S.W&amp;Services'!G177=0,""," / "&amp;'H.W&amp;S.W&amp;Services'!G177)</f>
        <v/>
      </c>
      <c r="I163" t="str">
        <f>IF('H.W&amp;S.W&amp;Services'!D177=0,"",'H.W&amp;S.W&amp;Services'!D177)</f>
        <v/>
      </c>
      <c r="J163" s="2" t="str">
        <f>IF('H.W&amp;S.W&amp;Services'!E177=0,"",'H.W&amp;S.W&amp;Services'!E177)</f>
        <v/>
      </c>
    </row>
    <row r="164" spans="1:10" x14ac:dyDescent="0.2">
      <c r="A164" s="2" t="str">
        <f t="shared" ca="1" si="2"/>
        <v/>
      </c>
      <c r="B164" s="2" t="str">
        <f>IF('H.W&amp;S.W&amp;Services'!C178=0,"",'H.W&amp;S.W&amp;Services'!C178)</f>
        <v/>
      </c>
      <c r="C164" s="2" t="str">
        <f>IF('H.W&amp;S.W&amp;Services'!C178=0,"",'H.W&amp;S.W&amp;Services'!C178)</f>
        <v/>
      </c>
      <c r="D164" s="2" t="str">
        <f>IF('H.W&amp;S.W&amp;Services'!H178=0,"",'H.W&amp;S.W&amp;Services'!H178)</f>
        <v/>
      </c>
      <c r="E164" s="2" t="str">
        <f>IF('H.W&amp;S.W&amp;Services'!I178=0,"",'H.W&amp;S.W&amp;Services'!I178)</f>
        <v/>
      </c>
      <c r="F164" s="3" t="str">
        <f>IF('H.W&amp;S.W&amp;Services'!J178=0,"",'H.W&amp;S.W&amp;Services'!J178)</f>
        <v/>
      </c>
      <c r="G164" s="4" t="str">
        <f>IF('H.W&amp;S.W&amp;Services'!O178=0,"",'H.W&amp;S.W&amp;Services'!O178)</f>
        <v/>
      </c>
      <c r="H164" s="2" t="str">
        <f>IF('H.W&amp;S.W&amp;Services'!B178=0,"",'H.W&amp;S.W&amp;Services'!B178) &amp; IF('H.W&amp;S.W&amp;Services'!F178=0,""," / "&amp;'H.W&amp;S.W&amp;Services'!F178) &amp; IF('H.W&amp;S.W&amp;Services'!G178=0,""," / "&amp;'H.W&amp;S.W&amp;Services'!G178)</f>
        <v/>
      </c>
      <c r="I164" t="str">
        <f>IF('H.W&amp;S.W&amp;Services'!D178=0,"",'H.W&amp;S.W&amp;Services'!D178)</f>
        <v/>
      </c>
      <c r="J164" s="2" t="str">
        <f>IF('H.W&amp;S.W&amp;Services'!E178=0,"",'H.W&amp;S.W&amp;Services'!E178)</f>
        <v/>
      </c>
    </row>
    <row r="165" spans="1:10" x14ac:dyDescent="0.2">
      <c r="A165" s="2" t="str">
        <f t="shared" ca="1" si="2"/>
        <v/>
      </c>
      <c r="B165" s="2" t="str">
        <f>IF('H.W&amp;S.W&amp;Services'!C179=0,"",'H.W&amp;S.W&amp;Services'!C179)</f>
        <v/>
      </c>
      <c r="C165" s="2" t="str">
        <f>IF('H.W&amp;S.W&amp;Services'!C179=0,"",'H.W&amp;S.W&amp;Services'!C179)</f>
        <v/>
      </c>
      <c r="D165" s="2" t="str">
        <f>IF('H.W&amp;S.W&amp;Services'!H179=0,"",'H.W&amp;S.W&amp;Services'!H179)</f>
        <v/>
      </c>
      <c r="E165" s="2" t="str">
        <f>IF('H.W&amp;S.W&amp;Services'!I179=0,"",'H.W&amp;S.W&amp;Services'!I179)</f>
        <v/>
      </c>
      <c r="F165" s="3" t="str">
        <f>IF('H.W&amp;S.W&amp;Services'!J179=0,"",'H.W&amp;S.W&amp;Services'!J179)</f>
        <v/>
      </c>
      <c r="G165" s="4" t="str">
        <f>IF('H.W&amp;S.W&amp;Services'!O179=0,"",'H.W&amp;S.W&amp;Services'!O179)</f>
        <v/>
      </c>
      <c r="H165" s="2" t="str">
        <f>IF('H.W&amp;S.W&amp;Services'!B179=0,"",'H.W&amp;S.W&amp;Services'!B179) &amp; IF('H.W&amp;S.W&amp;Services'!F179=0,""," / "&amp;'H.W&amp;S.W&amp;Services'!F179) &amp; IF('H.W&amp;S.W&amp;Services'!G179=0,""," / "&amp;'H.W&amp;S.W&amp;Services'!G179)</f>
        <v/>
      </c>
      <c r="I165" t="str">
        <f>IF('H.W&amp;S.W&amp;Services'!D179=0,"",'H.W&amp;S.W&amp;Services'!D179)</f>
        <v/>
      </c>
      <c r="J165" s="2" t="str">
        <f>IF('H.W&amp;S.W&amp;Services'!E179=0,"",'H.W&amp;S.W&amp;Services'!E179)</f>
        <v/>
      </c>
    </row>
    <row r="166" spans="1:10" x14ac:dyDescent="0.2">
      <c r="A166" s="2" t="str">
        <f t="shared" ca="1" si="2"/>
        <v/>
      </c>
      <c r="B166" s="2" t="str">
        <f>IF('H.W&amp;S.W&amp;Services'!C180=0,"",'H.W&amp;S.W&amp;Services'!C180)</f>
        <v/>
      </c>
      <c r="C166" s="2" t="str">
        <f>IF('H.W&amp;S.W&amp;Services'!C180=0,"",'H.W&amp;S.W&amp;Services'!C180)</f>
        <v/>
      </c>
      <c r="D166" s="2" t="str">
        <f>IF('H.W&amp;S.W&amp;Services'!H180=0,"",'H.W&amp;S.W&amp;Services'!H180)</f>
        <v/>
      </c>
      <c r="E166" s="2" t="str">
        <f>IF('H.W&amp;S.W&amp;Services'!I180=0,"",'H.W&amp;S.W&amp;Services'!I180)</f>
        <v/>
      </c>
      <c r="F166" s="3" t="str">
        <f>IF('H.W&amp;S.W&amp;Services'!J180=0,"",'H.W&amp;S.W&amp;Services'!J180)</f>
        <v/>
      </c>
      <c r="G166" s="4" t="str">
        <f>IF('H.W&amp;S.W&amp;Services'!O180=0,"",'H.W&amp;S.W&amp;Services'!O180)</f>
        <v/>
      </c>
      <c r="H166" s="2" t="str">
        <f>IF('H.W&amp;S.W&amp;Services'!B180=0,"",'H.W&amp;S.W&amp;Services'!B180) &amp; IF('H.W&amp;S.W&amp;Services'!F180=0,""," / "&amp;'H.W&amp;S.W&amp;Services'!F180) &amp; IF('H.W&amp;S.W&amp;Services'!G180=0,""," / "&amp;'H.W&amp;S.W&amp;Services'!G180)</f>
        <v/>
      </c>
      <c r="I166" t="str">
        <f>IF('H.W&amp;S.W&amp;Services'!D180=0,"",'H.W&amp;S.W&amp;Services'!D180)</f>
        <v/>
      </c>
      <c r="J166" s="2" t="str">
        <f>IF('H.W&amp;S.W&amp;Services'!E180=0,"",'H.W&amp;S.W&amp;Services'!E180)</f>
        <v/>
      </c>
    </row>
    <row r="167" spans="1:10" x14ac:dyDescent="0.2">
      <c r="A167" s="2" t="str">
        <f t="shared" ca="1" si="2"/>
        <v/>
      </c>
      <c r="B167" s="2" t="str">
        <f>IF('H.W&amp;S.W&amp;Services'!C181=0,"",'H.W&amp;S.W&amp;Services'!C181)</f>
        <v/>
      </c>
      <c r="C167" s="2" t="str">
        <f>IF('H.W&amp;S.W&amp;Services'!C181=0,"",'H.W&amp;S.W&amp;Services'!C181)</f>
        <v/>
      </c>
      <c r="D167" s="2" t="str">
        <f>IF('H.W&amp;S.W&amp;Services'!H181=0,"",'H.W&amp;S.W&amp;Services'!H181)</f>
        <v/>
      </c>
      <c r="E167" s="2" t="str">
        <f>IF('H.W&amp;S.W&amp;Services'!I181=0,"",'H.W&amp;S.W&amp;Services'!I181)</f>
        <v/>
      </c>
      <c r="F167" s="3" t="str">
        <f>IF('H.W&amp;S.W&amp;Services'!J181=0,"",'H.W&amp;S.W&amp;Services'!J181)</f>
        <v/>
      </c>
      <c r="G167" s="4" t="str">
        <f>IF('H.W&amp;S.W&amp;Services'!O181=0,"",'H.W&amp;S.W&amp;Services'!O181)</f>
        <v/>
      </c>
      <c r="H167" s="2" t="str">
        <f>IF('H.W&amp;S.W&amp;Services'!B181=0,"",'H.W&amp;S.W&amp;Services'!B181) &amp; IF('H.W&amp;S.W&amp;Services'!F181=0,""," / "&amp;'H.W&amp;S.W&amp;Services'!F181) &amp; IF('H.W&amp;S.W&amp;Services'!G181=0,""," / "&amp;'H.W&amp;S.W&amp;Services'!G181)</f>
        <v/>
      </c>
      <c r="I167" t="str">
        <f>IF('H.W&amp;S.W&amp;Services'!D181=0,"",'H.W&amp;S.W&amp;Services'!D181)</f>
        <v/>
      </c>
      <c r="J167" s="2" t="str">
        <f>IF('H.W&amp;S.W&amp;Services'!E181=0,"",'H.W&amp;S.W&amp;Services'!E181)</f>
        <v/>
      </c>
    </row>
    <row r="168" spans="1:10" x14ac:dyDescent="0.2">
      <c r="A168" s="2" t="str">
        <f t="shared" ca="1" si="2"/>
        <v/>
      </c>
      <c r="B168" s="2" t="str">
        <f>IF('H.W&amp;S.W&amp;Services'!C182=0,"",'H.W&amp;S.W&amp;Services'!C182)</f>
        <v/>
      </c>
      <c r="C168" s="2" t="str">
        <f>IF('H.W&amp;S.W&amp;Services'!C182=0,"",'H.W&amp;S.W&amp;Services'!C182)</f>
        <v/>
      </c>
      <c r="D168" s="2" t="str">
        <f>IF('H.W&amp;S.W&amp;Services'!H182=0,"",'H.W&amp;S.W&amp;Services'!H182)</f>
        <v/>
      </c>
      <c r="E168" s="2" t="str">
        <f>IF('H.W&amp;S.W&amp;Services'!I182=0,"",'H.W&amp;S.W&amp;Services'!I182)</f>
        <v/>
      </c>
      <c r="F168" s="3" t="str">
        <f>IF('H.W&amp;S.W&amp;Services'!J182=0,"",'H.W&amp;S.W&amp;Services'!J182)</f>
        <v/>
      </c>
      <c r="G168" s="4" t="str">
        <f>IF('H.W&amp;S.W&amp;Services'!O182=0,"",'H.W&amp;S.W&amp;Services'!O182)</f>
        <v/>
      </c>
      <c r="H168" s="2" t="str">
        <f>IF('H.W&amp;S.W&amp;Services'!B182=0,"",'H.W&amp;S.W&amp;Services'!B182) &amp; IF('H.W&amp;S.W&amp;Services'!F182=0,""," / "&amp;'H.W&amp;S.W&amp;Services'!F182) &amp; IF('H.W&amp;S.W&amp;Services'!G182=0,""," / "&amp;'H.W&amp;S.W&amp;Services'!G182)</f>
        <v/>
      </c>
      <c r="I168" t="str">
        <f>IF('H.W&amp;S.W&amp;Services'!D182=0,"",'H.W&amp;S.W&amp;Services'!D182)</f>
        <v/>
      </c>
      <c r="J168" s="2" t="str">
        <f>IF('H.W&amp;S.W&amp;Services'!E182=0,"",'H.W&amp;S.W&amp;Services'!E182)</f>
        <v/>
      </c>
    </row>
    <row r="169" spans="1:10" x14ac:dyDescent="0.2">
      <c r="A169" s="2" t="str">
        <f t="shared" ca="1" si="2"/>
        <v/>
      </c>
      <c r="B169" s="2" t="str">
        <f>IF('H.W&amp;S.W&amp;Services'!C183=0,"",'H.W&amp;S.W&amp;Services'!C183)</f>
        <v/>
      </c>
      <c r="C169" s="2" t="str">
        <f>IF('H.W&amp;S.W&amp;Services'!C183=0,"",'H.W&amp;S.W&amp;Services'!C183)</f>
        <v/>
      </c>
      <c r="D169" s="2" t="str">
        <f>IF('H.W&amp;S.W&amp;Services'!H183=0,"",'H.W&amp;S.W&amp;Services'!H183)</f>
        <v/>
      </c>
      <c r="E169" s="2" t="str">
        <f>IF('H.W&amp;S.W&amp;Services'!I183=0,"",'H.W&amp;S.W&amp;Services'!I183)</f>
        <v/>
      </c>
      <c r="F169" s="3" t="str">
        <f>IF('H.W&amp;S.W&amp;Services'!J183=0,"",'H.W&amp;S.W&amp;Services'!J183)</f>
        <v/>
      </c>
      <c r="G169" s="4" t="str">
        <f>IF('H.W&amp;S.W&amp;Services'!O183=0,"",'H.W&amp;S.W&amp;Services'!O183)</f>
        <v/>
      </c>
      <c r="H169" s="2" t="str">
        <f>IF('H.W&amp;S.W&amp;Services'!B183=0,"",'H.W&amp;S.W&amp;Services'!B183) &amp; IF('H.W&amp;S.W&amp;Services'!F183=0,""," / "&amp;'H.W&amp;S.W&amp;Services'!F183) &amp; IF('H.W&amp;S.W&amp;Services'!G183=0,""," / "&amp;'H.W&amp;S.W&amp;Services'!G183)</f>
        <v/>
      </c>
      <c r="I169" t="str">
        <f>IF('H.W&amp;S.W&amp;Services'!D183=0,"",'H.W&amp;S.W&amp;Services'!D183)</f>
        <v/>
      </c>
      <c r="J169" s="2" t="str">
        <f>IF('H.W&amp;S.W&amp;Services'!E183=0,"",'H.W&amp;S.W&amp;Services'!E183)</f>
        <v/>
      </c>
    </row>
    <row r="170" spans="1:10" x14ac:dyDescent="0.2">
      <c r="A170" s="2" t="str">
        <f t="shared" ca="1" si="2"/>
        <v/>
      </c>
      <c r="B170" s="2" t="str">
        <f>IF('H.W&amp;S.W&amp;Services'!C184=0,"",'H.W&amp;S.W&amp;Services'!C184)</f>
        <v/>
      </c>
      <c r="C170" s="2" t="str">
        <f>IF('H.W&amp;S.W&amp;Services'!C184=0,"",'H.W&amp;S.W&amp;Services'!C184)</f>
        <v/>
      </c>
      <c r="D170" s="2" t="str">
        <f>IF('H.W&amp;S.W&amp;Services'!H184=0,"",'H.W&amp;S.W&amp;Services'!H184)</f>
        <v/>
      </c>
      <c r="E170" s="2" t="str">
        <f>IF('H.W&amp;S.W&amp;Services'!I184=0,"",'H.W&amp;S.W&amp;Services'!I184)</f>
        <v/>
      </c>
      <c r="F170" s="3" t="str">
        <f>IF('H.W&amp;S.W&amp;Services'!J184=0,"",'H.W&amp;S.W&amp;Services'!J184)</f>
        <v/>
      </c>
      <c r="G170" s="4" t="str">
        <f>IF('H.W&amp;S.W&amp;Services'!O184=0,"",'H.W&amp;S.W&amp;Services'!O184)</f>
        <v/>
      </c>
      <c r="H170" s="2" t="str">
        <f>IF('H.W&amp;S.W&amp;Services'!B184=0,"",'H.W&amp;S.W&amp;Services'!B184) &amp; IF('H.W&amp;S.W&amp;Services'!F184=0,""," / "&amp;'H.W&amp;S.W&amp;Services'!F184) &amp; IF('H.W&amp;S.W&amp;Services'!G184=0,""," / "&amp;'H.W&amp;S.W&amp;Services'!G184)</f>
        <v/>
      </c>
      <c r="I170" t="str">
        <f>IF('H.W&amp;S.W&amp;Services'!D184=0,"",'H.W&amp;S.W&amp;Services'!D184)</f>
        <v/>
      </c>
      <c r="J170" s="2" t="str">
        <f>IF('H.W&amp;S.W&amp;Services'!E184=0,"",'H.W&amp;S.W&amp;Services'!E184)</f>
        <v/>
      </c>
    </row>
    <row r="171" spans="1:10" x14ac:dyDescent="0.2">
      <c r="A171" s="2" t="str">
        <f t="shared" ca="1" si="2"/>
        <v/>
      </c>
      <c r="B171" s="2" t="str">
        <f>IF('H.W&amp;S.W&amp;Services'!C185=0,"",'H.W&amp;S.W&amp;Services'!C185)</f>
        <v/>
      </c>
      <c r="C171" s="2" t="str">
        <f>IF('H.W&amp;S.W&amp;Services'!C185=0,"",'H.W&amp;S.W&amp;Services'!C185)</f>
        <v/>
      </c>
      <c r="D171" s="2" t="str">
        <f>IF('H.W&amp;S.W&amp;Services'!H185=0,"",'H.W&amp;S.W&amp;Services'!H185)</f>
        <v/>
      </c>
      <c r="E171" s="2" t="str">
        <f>IF('H.W&amp;S.W&amp;Services'!I185=0,"",'H.W&amp;S.W&amp;Services'!I185)</f>
        <v/>
      </c>
      <c r="F171" s="3" t="str">
        <f>IF('H.W&amp;S.W&amp;Services'!J185=0,"",'H.W&amp;S.W&amp;Services'!J185)</f>
        <v/>
      </c>
      <c r="G171" s="4" t="str">
        <f>IF('H.W&amp;S.W&amp;Services'!O185=0,"",'H.W&amp;S.W&amp;Services'!O185)</f>
        <v/>
      </c>
      <c r="H171" s="2" t="str">
        <f>IF('H.W&amp;S.W&amp;Services'!B185=0,"",'H.W&amp;S.W&amp;Services'!B185) &amp; IF('H.W&amp;S.W&amp;Services'!F185=0,""," / "&amp;'H.W&amp;S.W&amp;Services'!F185) &amp; IF('H.W&amp;S.W&amp;Services'!G185=0,""," / "&amp;'H.W&amp;S.W&amp;Services'!G185)</f>
        <v/>
      </c>
      <c r="I171" t="str">
        <f>IF('H.W&amp;S.W&amp;Services'!D185=0,"",'H.W&amp;S.W&amp;Services'!D185)</f>
        <v/>
      </c>
      <c r="J171" s="2" t="str">
        <f>IF('H.W&amp;S.W&amp;Services'!E185=0,"",'H.W&amp;S.W&amp;Services'!E185)</f>
        <v/>
      </c>
    </row>
    <row r="172" spans="1:10" x14ac:dyDescent="0.2">
      <c r="A172" s="2" t="str">
        <f t="shared" ca="1" si="2"/>
        <v/>
      </c>
      <c r="B172" s="2" t="str">
        <f>IF('H.W&amp;S.W&amp;Services'!C186=0,"",'H.W&amp;S.W&amp;Services'!C186)</f>
        <v/>
      </c>
      <c r="C172" s="2" t="str">
        <f>IF('H.W&amp;S.W&amp;Services'!C186=0,"",'H.W&amp;S.W&amp;Services'!C186)</f>
        <v/>
      </c>
      <c r="D172" s="2" t="str">
        <f>IF('H.W&amp;S.W&amp;Services'!H186=0,"",'H.W&amp;S.W&amp;Services'!H186)</f>
        <v/>
      </c>
      <c r="E172" s="2" t="str">
        <f>IF('H.W&amp;S.W&amp;Services'!I186=0,"",'H.W&amp;S.W&amp;Services'!I186)</f>
        <v/>
      </c>
      <c r="F172" s="3" t="str">
        <f>IF('H.W&amp;S.W&amp;Services'!J186=0,"",'H.W&amp;S.W&amp;Services'!J186)</f>
        <v/>
      </c>
      <c r="G172" s="4" t="str">
        <f>IF('H.W&amp;S.W&amp;Services'!O186=0,"",'H.W&amp;S.W&amp;Services'!O186)</f>
        <v/>
      </c>
      <c r="H172" s="2" t="str">
        <f>IF('H.W&amp;S.W&amp;Services'!B186=0,"",'H.W&amp;S.W&amp;Services'!B186) &amp; IF('H.W&amp;S.W&amp;Services'!F186=0,""," / "&amp;'H.W&amp;S.W&amp;Services'!F186) &amp; IF('H.W&amp;S.W&amp;Services'!G186=0,""," / "&amp;'H.W&amp;S.W&amp;Services'!G186)</f>
        <v/>
      </c>
      <c r="I172" t="str">
        <f>IF('H.W&amp;S.W&amp;Services'!D186=0,"",'H.W&amp;S.W&amp;Services'!D186)</f>
        <v/>
      </c>
      <c r="J172" s="2" t="str">
        <f>IF('H.W&amp;S.W&amp;Services'!E186=0,"",'H.W&amp;S.W&amp;Services'!E186)</f>
        <v/>
      </c>
    </row>
    <row r="173" spans="1:10" x14ac:dyDescent="0.2">
      <c r="A173" s="2" t="str">
        <f t="shared" ca="1" si="2"/>
        <v/>
      </c>
      <c r="B173" s="2" t="str">
        <f>IF('H.W&amp;S.W&amp;Services'!C187=0,"",'H.W&amp;S.W&amp;Services'!C187)</f>
        <v/>
      </c>
      <c r="C173" s="2" t="str">
        <f>IF('H.W&amp;S.W&amp;Services'!C187=0,"",'H.W&amp;S.W&amp;Services'!C187)</f>
        <v/>
      </c>
      <c r="D173" s="2" t="str">
        <f>IF('H.W&amp;S.W&amp;Services'!H187=0,"",'H.W&amp;S.W&amp;Services'!H187)</f>
        <v/>
      </c>
      <c r="E173" s="2" t="str">
        <f>IF('H.W&amp;S.W&amp;Services'!I187=0,"",'H.W&amp;S.W&amp;Services'!I187)</f>
        <v/>
      </c>
      <c r="F173" s="3" t="str">
        <f>IF('H.W&amp;S.W&amp;Services'!J187=0,"",'H.W&amp;S.W&amp;Services'!J187)</f>
        <v/>
      </c>
      <c r="G173" s="4" t="str">
        <f>IF('H.W&amp;S.W&amp;Services'!O187=0,"",'H.W&amp;S.W&amp;Services'!O187)</f>
        <v/>
      </c>
      <c r="H173" s="2" t="str">
        <f>IF('H.W&amp;S.W&amp;Services'!B187=0,"",'H.W&amp;S.W&amp;Services'!B187) &amp; IF('H.W&amp;S.W&amp;Services'!F187=0,""," / "&amp;'H.W&amp;S.W&amp;Services'!F187) &amp; IF('H.W&amp;S.W&amp;Services'!G187=0,""," / "&amp;'H.W&amp;S.W&amp;Services'!G187)</f>
        <v/>
      </c>
      <c r="I173" t="str">
        <f>IF('H.W&amp;S.W&amp;Services'!D187=0,"",'H.W&amp;S.W&amp;Services'!D187)</f>
        <v/>
      </c>
      <c r="J173" s="2" t="str">
        <f>IF('H.W&amp;S.W&amp;Services'!E187=0,"",'H.W&amp;S.W&amp;Services'!E187)</f>
        <v/>
      </c>
    </row>
    <row r="174" spans="1:10" x14ac:dyDescent="0.2">
      <c r="A174" s="2" t="str">
        <f t="shared" ca="1" si="2"/>
        <v/>
      </c>
      <c r="B174" s="2" t="str">
        <f>IF('H.W&amp;S.W&amp;Services'!C188=0,"",'H.W&amp;S.W&amp;Services'!C188)</f>
        <v/>
      </c>
      <c r="C174" s="2" t="str">
        <f>IF('H.W&amp;S.W&amp;Services'!C188=0,"",'H.W&amp;S.W&amp;Services'!C188)</f>
        <v/>
      </c>
      <c r="D174" s="2" t="str">
        <f>IF('H.W&amp;S.W&amp;Services'!H188=0,"",'H.W&amp;S.W&amp;Services'!H188)</f>
        <v/>
      </c>
      <c r="E174" s="2" t="str">
        <f>IF('H.W&amp;S.W&amp;Services'!I188=0,"",'H.W&amp;S.W&amp;Services'!I188)</f>
        <v/>
      </c>
      <c r="F174" s="3" t="str">
        <f>IF('H.W&amp;S.W&amp;Services'!J188=0,"",'H.W&amp;S.W&amp;Services'!J188)</f>
        <v/>
      </c>
      <c r="G174" s="4" t="str">
        <f>IF('H.W&amp;S.W&amp;Services'!O188=0,"",'H.W&amp;S.W&amp;Services'!O188)</f>
        <v/>
      </c>
      <c r="H174" s="2" t="str">
        <f>IF('H.W&amp;S.W&amp;Services'!B188=0,"",'H.W&amp;S.W&amp;Services'!B188) &amp; IF('H.W&amp;S.W&amp;Services'!F188=0,""," / "&amp;'H.W&amp;S.W&amp;Services'!F188) &amp; IF('H.W&amp;S.W&amp;Services'!G188=0,""," / "&amp;'H.W&amp;S.W&amp;Services'!G188)</f>
        <v/>
      </c>
      <c r="I174" t="str">
        <f>IF('H.W&amp;S.W&amp;Services'!D188=0,"",'H.W&amp;S.W&amp;Services'!D188)</f>
        <v/>
      </c>
      <c r="J174" s="2" t="str">
        <f>IF('H.W&amp;S.W&amp;Services'!E188=0,"",'H.W&amp;S.W&amp;Services'!E188)</f>
        <v/>
      </c>
    </row>
    <row r="175" spans="1:10" x14ac:dyDescent="0.2">
      <c r="A175" s="2" t="str">
        <f t="shared" ca="1" si="2"/>
        <v/>
      </c>
      <c r="B175" s="2" t="str">
        <f>IF('H.W&amp;S.W&amp;Services'!C189=0,"",'H.W&amp;S.W&amp;Services'!C189)</f>
        <v/>
      </c>
      <c r="C175" s="2" t="str">
        <f>IF('H.W&amp;S.W&amp;Services'!C189=0,"",'H.W&amp;S.W&amp;Services'!C189)</f>
        <v/>
      </c>
      <c r="D175" s="2" t="str">
        <f>IF('H.W&amp;S.W&amp;Services'!H189=0,"",'H.W&amp;S.W&amp;Services'!H189)</f>
        <v/>
      </c>
      <c r="E175" s="2" t="str">
        <f>IF('H.W&amp;S.W&amp;Services'!I189=0,"",'H.W&amp;S.W&amp;Services'!I189)</f>
        <v/>
      </c>
      <c r="F175" s="3" t="str">
        <f>IF('H.W&amp;S.W&amp;Services'!J189=0,"",'H.W&amp;S.W&amp;Services'!J189)</f>
        <v/>
      </c>
      <c r="G175" s="4" t="str">
        <f>IF('H.W&amp;S.W&amp;Services'!O189=0,"",'H.W&amp;S.W&amp;Services'!O189)</f>
        <v/>
      </c>
      <c r="H175" s="2" t="str">
        <f>IF('H.W&amp;S.W&amp;Services'!B189=0,"",'H.W&amp;S.W&amp;Services'!B189) &amp; IF('H.W&amp;S.W&amp;Services'!F189=0,""," / "&amp;'H.W&amp;S.W&amp;Services'!F189) &amp; IF('H.W&amp;S.W&amp;Services'!G189=0,""," / "&amp;'H.W&amp;S.W&amp;Services'!G189)</f>
        <v/>
      </c>
      <c r="I175" t="str">
        <f>IF('H.W&amp;S.W&amp;Services'!D189=0,"",'H.W&amp;S.W&amp;Services'!D189)</f>
        <v/>
      </c>
      <c r="J175" s="2" t="str">
        <f>IF('H.W&amp;S.W&amp;Services'!E189=0,"",'H.W&amp;S.W&amp;Services'!E189)</f>
        <v/>
      </c>
    </row>
    <row r="176" spans="1:10" x14ac:dyDescent="0.2">
      <c r="A176" s="2" t="str">
        <f t="shared" ca="1" si="2"/>
        <v/>
      </c>
      <c r="B176" s="2" t="str">
        <f>IF('H.W&amp;S.W&amp;Services'!C190=0,"",'H.W&amp;S.W&amp;Services'!C190)</f>
        <v/>
      </c>
      <c r="C176" s="2" t="str">
        <f>IF('H.W&amp;S.W&amp;Services'!C190=0,"",'H.W&amp;S.W&amp;Services'!C190)</f>
        <v/>
      </c>
      <c r="D176" s="2" t="str">
        <f>IF('H.W&amp;S.W&amp;Services'!H190=0,"",'H.W&amp;S.W&amp;Services'!H190)</f>
        <v/>
      </c>
      <c r="E176" s="2" t="str">
        <f>IF('H.W&amp;S.W&amp;Services'!I190=0,"",'H.W&amp;S.W&amp;Services'!I190)</f>
        <v/>
      </c>
      <c r="F176" s="3" t="str">
        <f>IF('H.W&amp;S.W&amp;Services'!J190=0,"",'H.W&amp;S.W&amp;Services'!J190)</f>
        <v/>
      </c>
      <c r="G176" s="4" t="str">
        <f>IF('H.W&amp;S.W&amp;Services'!O190=0,"",'H.W&amp;S.W&amp;Services'!O190)</f>
        <v/>
      </c>
      <c r="H176" s="2" t="str">
        <f>IF('H.W&amp;S.W&amp;Services'!B190=0,"",'H.W&amp;S.W&amp;Services'!B190) &amp; IF('H.W&amp;S.W&amp;Services'!F190=0,""," / "&amp;'H.W&amp;S.W&amp;Services'!F190) &amp; IF('H.W&amp;S.W&amp;Services'!G190=0,""," / "&amp;'H.W&amp;S.W&amp;Services'!G190)</f>
        <v/>
      </c>
      <c r="I176" t="str">
        <f>IF('H.W&amp;S.W&amp;Services'!D190=0,"",'H.W&amp;S.W&amp;Services'!D190)</f>
        <v/>
      </c>
      <c r="J176" s="2" t="str">
        <f>IF('H.W&amp;S.W&amp;Services'!E190=0,"",'H.W&amp;S.W&amp;Services'!E190)</f>
        <v/>
      </c>
    </row>
    <row r="177" spans="1:10" x14ac:dyDescent="0.2">
      <c r="A177" s="2" t="str">
        <f t="shared" ca="1" si="2"/>
        <v/>
      </c>
      <c r="B177" s="2" t="str">
        <f>IF('H.W&amp;S.W&amp;Services'!C191=0,"",'H.W&amp;S.W&amp;Services'!C191)</f>
        <v/>
      </c>
      <c r="C177" s="2" t="str">
        <f>IF('H.W&amp;S.W&amp;Services'!C191=0,"",'H.W&amp;S.W&amp;Services'!C191)</f>
        <v/>
      </c>
      <c r="D177" s="2" t="str">
        <f>IF('H.W&amp;S.W&amp;Services'!H191=0,"",'H.W&amp;S.W&amp;Services'!H191)</f>
        <v/>
      </c>
      <c r="E177" s="2" t="str">
        <f>IF('H.W&amp;S.W&amp;Services'!I191=0,"",'H.W&amp;S.W&amp;Services'!I191)</f>
        <v/>
      </c>
      <c r="F177" s="3" t="str">
        <f>IF('H.W&amp;S.W&amp;Services'!J191=0,"",'H.W&amp;S.W&amp;Services'!J191)</f>
        <v/>
      </c>
      <c r="G177" s="4" t="str">
        <f>IF('H.W&amp;S.W&amp;Services'!O191=0,"",'H.W&amp;S.W&amp;Services'!O191)</f>
        <v/>
      </c>
      <c r="H177" s="2" t="str">
        <f>IF('H.W&amp;S.W&amp;Services'!B191=0,"",'H.W&amp;S.W&amp;Services'!B191) &amp; IF('H.W&amp;S.W&amp;Services'!F191=0,""," / "&amp;'H.W&amp;S.W&amp;Services'!F191) &amp; IF('H.W&amp;S.W&amp;Services'!G191=0,""," / "&amp;'H.W&amp;S.W&amp;Services'!G191)</f>
        <v/>
      </c>
      <c r="I177" t="str">
        <f>IF('H.W&amp;S.W&amp;Services'!D191=0,"",'H.W&amp;S.W&amp;Services'!D191)</f>
        <v/>
      </c>
      <c r="J177" s="2" t="str">
        <f>IF('H.W&amp;S.W&amp;Services'!E191=0,"",'H.W&amp;S.W&amp;Services'!E191)</f>
        <v/>
      </c>
    </row>
    <row r="178" spans="1:10" x14ac:dyDescent="0.2">
      <c r="A178" s="2" t="str">
        <f t="shared" ca="1" si="2"/>
        <v/>
      </c>
      <c r="B178" s="2" t="str">
        <f>IF('H.W&amp;S.W&amp;Services'!C192=0,"",'H.W&amp;S.W&amp;Services'!C192)</f>
        <v/>
      </c>
      <c r="C178" s="2" t="str">
        <f>IF('H.W&amp;S.W&amp;Services'!C192=0,"",'H.W&amp;S.W&amp;Services'!C192)</f>
        <v/>
      </c>
      <c r="D178" s="2" t="str">
        <f>IF('H.W&amp;S.W&amp;Services'!H192=0,"",'H.W&amp;S.W&amp;Services'!H192)</f>
        <v/>
      </c>
      <c r="E178" s="2" t="str">
        <f>IF('H.W&amp;S.W&amp;Services'!I192=0,"",'H.W&amp;S.W&amp;Services'!I192)</f>
        <v/>
      </c>
      <c r="F178" s="3" t="str">
        <f>IF('H.W&amp;S.W&amp;Services'!J192=0,"",'H.W&amp;S.W&amp;Services'!J192)</f>
        <v/>
      </c>
      <c r="G178" s="4" t="str">
        <f>IF('H.W&amp;S.W&amp;Services'!O192=0,"",'H.W&amp;S.W&amp;Services'!O192)</f>
        <v/>
      </c>
      <c r="H178" s="2" t="str">
        <f>IF('H.W&amp;S.W&amp;Services'!B192=0,"",'H.W&amp;S.W&amp;Services'!B192) &amp; IF('H.W&amp;S.W&amp;Services'!F192=0,""," / "&amp;'H.W&amp;S.W&amp;Services'!F192) &amp; IF('H.W&amp;S.W&amp;Services'!G192=0,""," / "&amp;'H.W&amp;S.W&amp;Services'!G192)</f>
        <v/>
      </c>
      <c r="I178" t="str">
        <f>IF('H.W&amp;S.W&amp;Services'!D192=0,"",'H.W&amp;S.W&amp;Services'!D192)</f>
        <v/>
      </c>
      <c r="J178" s="2" t="str">
        <f>IF('H.W&amp;S.W&amp;Services'!E192=0,"",'H.W&amp;S.W&amp;Services'!E192)</f>
        <v/>
      </c>
    </row>
    <row r="179" spans="1:10" x14ac:dyDescent="0.2">
      <c r="A179" s="2" t="str">
        <f t="shared" ca="1" si="2"/>
        <v/>
      </c>
      <c r="B179" s="2" t="str">
        <f>IF('H.W&amp;S.W&amp;Services'!C193=0,"",'H.W&amp;S.W&amp;Services'!C193)</f>
        <v/>
      </c>
      <c r="C179" s="2" t="str">
        <f>IF('H.W&amp;S.W&amp;Services'!C193=0,"",'H.W&amp;S.W&amp;Services'!C193)</f>
        <v/>
      </c>
      <c r="D179" s="2" t="str">
        <f>IF('H.W&amp;S.W&amp;Services'!H193=0,"",'H.W&amp;S.W&amp;Services'!H193)</f>
        <v/>
      </c>
      <c r="E179" s="2" t="str">
        <f>IF('H.W&amp;S.W&amp;Services'!I193=0,"",'H.W&amp;S.W&amp;Services'!I193)</f>
        <v/>
      </c>
      <c r="F179" s="3" t="str">
        <f>IF('H.W&amp;S.W&amp;Services'!J193=0,"",'H.W&amp;S.W&amp;Services'!J193)</f>
        <v/>
      </c>
      <c r="G179" s="4" t="str">
        <f>IF('H.W&amp;S.W&amp;Services'!O193=0,"",'H.W&amp;S.W&amp;Services'!O193)</f>
        <v/>
      </c>
      <c r="H179" s="2" t="str">
        <f>IF('H.W&amp;S.W&amp;Services'!B193=0,"",'H.W&amp;S.W&amp;Services'!B193) &amp; IF('H.W&amp;S.W&amp;Services'!F193=0,""," / "&amp;'H.W&amp;S.W&amp;Services'!F193) &amp; IF('H.W&amp;S.W&amp;Services'!G193=0,""," / "&amp;'H.W&amp;S.W&amp;Services'!G193)</f>
        <v/>
      </c>
      <c r="I179" t="str">
        <f>IF('H.W&amp;S.W&amp;Services'!D193=0,"",'H.W&amp;S.W&amp;Services'!D193)</f>
        <v/>
      </c>
      <c r="J179" s="2" t="str">
        <f>IF('H.W&amp;S.W&amp;Services'!E193=0,"",'H.W&amp;S.W&amp;Services'!E193)</f>
        <v/>
      </c>
    </row>
    <row r="180" spans="1:10" x14ac:dyDescent="0.2">
      <c r="A180" s="2" t="str">
        <f t="shared" ca="1" si="2"/>
        <v/>
      </c>
      <c r="B180" s="2" t="str">
        <f>IF('H.W&amp;S.W&amp;Services'!C194=0,"",'H.W&amp;S.W&amp;Services'!C194)</f>
        <v/>
      </c>
      <c r="C180" s="2" t="str">
        <f>IF('H.W&amp;S.W&amp;Services'!C194=0,"",'H.W&amp;S.W&amp;Services'!C194)</f>
        <v/>
      </c>
      <c r="D180" s="2" t="str">
        <f>IF('H.W&amp;S.W&amp;Services'!H194=0,"",'H.W&amp;S.W&amp;Services'!H194)</f>
        <v/>
      </c>
      <c r="E180" s="2" t="str">
        <f>IF('H.W&amp;S.W&amp;Services'!I194=0,"",'H.W&amp;S.W&amp;Services'!I194)</f>
        <v/>
      </c>
      <c r="F180" s="3" t="str">
        <f>IF('H.W&amp;S.W&amp;Services'!J194=0,"",'H.W&amp;S.W&amp;Services'!J194)</f>
        <v/>
      </c>
      <c r="G180" s="4" t="str">
        <f>IF('H.W&amp;S.W&amp;Services'!O194=0,"",'H.W&amp;S.W&amp;Services'!O194)</f>
        <v/>
      </c>
      <c r="H180" s="2" t="str">
        <f>IF('H.W&amp;S.W&amp;Services'!B194=0,"",'H.W&amp;S.W&amp;Services'!B194) &amp; IF('H.W&amp;S.W&amp;Services'!F194=0,""," / "&amp;'H.W&amp;S.W&amp;Services'!F194) &amp; IF('H.W&amp;S.W&amp;Services'!G194=0,""," / "&amp;'H.W&amp;S.W&amp;Services'!G194)</f>
        <v/>
      </c>
      <c r="I180" t="str">
        <f>IF('H.W&amp;S.W&amp;Services'!D194=0,"",'H.W&amp;S.W&amp;Services'!D194)</f>
        <v/>
      </c>
      <c r="J180" s="2" t="str">
        <f>IF('H.W&amp;S.W&amp;Services'!E194=0,"",'H.W&amp;S.W&amp;Services'!E194)</f>
        <v/>
      </c>
    </row>
    <row r="181" spans="1:10" x14ac:dyDescent="0.2">
      <c r="A181" s="2" t="str">
        <f t="shared" ca="1" si="2"/>
        <v/>
      </c>
      <c r="B181" s="2" t="str">
        <f>IF('H.W&amp;S.W&amp;Services'!C195=0,"",'H.W&amp;S.W&amp;Services'!C195)</f>
        <v/>
      </c>
      <c r="C181" s="2" t="str">
        <f>IF('H.W&amp;S.W&amp;Services'!C195=0,"",'H.W&amp;S.W&amp;Services'!C195)</f>
        <v/>
      </c>
      <c r="D181" s="2" t="str">
        <f>IF('H.W&amp;S.W&amp;Services'!H195=0,"",'H.W&amp;S.W&amp;Services'!H195)</f>
        <v/>
      </c>
      <c r="E181" s="2" t="str">
        <f>IF('H.W&amp;S.W&amp;Services'!I195=0,"",'H.W&amp;S.W&amp;Services'!I195)</f>
        <v/>
      </c>
      <c r="F181" s="3" t="str">
        <f>IF('H.W&amp;S.W&amp;Services'!J195=0,"",'H.W&amp;S.W&amp;Services'!J195)</f>
        <v/>
      </c>
      <c r="G181" s="4" t="str">
        <f>IF('H.W&amp;S.W&amp;Services'!O195=0,"",'H.W&amp;S.W&amp;Services'!O195)</f>
        <v/>
      </c>
      <c r="H181" s="2" t="str">
        <f>IF('H.W&amp;S.W&amp;Services'!B195=0,"",'H.W&amp;S.W&amp;Services'!B195) &amp; IF('H.W&amp;S.W&amp;Services'!F195=0,""," / "&amp;'H.W&amp;S.W&amp;Services'!F195) &amp; IF('H.W&amp;S.W&amp;Services'!G195=0,""," / "&amp;'H.W&amp;S.W&amp;Services'!G195)</f>
        <v/>
      </c>
      <c r="I181" t="str">
        <f>IF('H.W&amp;S.W&amp;Services'!D195=0,"",'H.W&amp;S.W&amp;Services'!D195)</f>
        <v/>
      </c>
      <c r="J181" s="2" t="str">
        <f>IF('H.W&amp;S.W&amp;Services'!E195=0,"",'H.W&amp;S.W&amp;Services'!E195)</f>
        <v/>
      </c>
    </row>
    <row r="182" spans="1:10" x14ac:dyDescent="0.2">
      <c r="A182" s="2" t="str">
        <f t="shared" ca="1" si="2"/>
        <v/>
      </c>
      <c r="B182" s="2" t="str">
        <f>IF('H.W&amp;S.W&amp;Services'!C196=0,"",'H.W&amp;S.W&amp;Services'!C196)</f>
        <v/>
      </c>
      <c r="C182" s="2" t="str">
        <f>IF('H.W&amp;S.W&amp;Services'!C196=0,"",'H.W&amp;S.W&amp;Services'!C196)</f>
        <v/>
      </c>
      <c r="D182" s="2" t="str">
        <f>IF('H.W&amp;S.W&amp;Services'!H196=0,"",'H.W&amp;S.W&amp;Services'!H196)</f>
        <v/>
      </c>
      <c r="E182" s="2" t="str">
        <f>IF('H.W&amp;S.W&amp;Services'!I196=0,"",'H.W&amp;S.W&amp;Services'!I196)</f>
        <v/>
      </c>
      <c r="F182" s="3" t="str">
        <f>IF('H.W&amp;S.W&amp;Services'!J196=0,"",'H.W&amp;S.W&amp;Services'!J196)</f>
        <v/>
      </c>
      <c r="G182" s="4" t="str">
        <f>IF('H.W&amp;S.W&amp;Services'!O196=0,"",'H.W&amp;S.W&amp;Services'!O196)</f>
        <v/>
      </c>
      <c r="H182" s="2" t="str">
        <f>IF('H.W&amp;S.W&amp;Services'!B196=0,"",'H.W&amp;S.W&amp;Services'!B196) &amp; IF('H.W&amp;S.W&amp;Services'!F196=0,""," / "&amp;'H.W&amp;S.W&amp;Services'!F196) &amp; IF('H.W&amp;S.W&amp;Services'!G196=0,""," / "&amp;'H.W&amp;S.W&amp;Services'!G196)</f>
        <v/>
      </c>
      <c r="I182" t="str">
        <f>IF('H.W&amp;S.W&amp;Services'!D196=0,"",'H.W&amp;S.W&amp;Services'!D196)</f>
        <v/>
      </c>
      <c r="J182" s="2" t="str">
        <f>IF('H.W&amp;S.W&amp;Services'!E196=0,"",'H.W&amp;S.W&amp;Services'!E196)</f>
        <v/>
      </c>
    </row>
    <row r="183" spans="1:10" x14ac:dyDescent="0.2">
      <c r="A183" s="2" t="str">
        <f t="shared" ca="1" si="2"/>
        <v/>
      </c>
      <c r="B183" s="2" t="str">
        <f>IF('H.W&amp;S.W&amp;Services'!C197=0,"",'H.W&amp;S.W&amp;Services'!C197)</f>
        <v/>
      </c>
      <c r="C183" s="2" t="str">
        <f>IF('H.W&amp;S.W&amp;Services'!C197=0,"",'H.W&amp;S.W&amp;Services'!C197)</f>
        <v/>
      </c>
      <c r="D183" s="2" t="str">
        <f>IF('H.W&amp;S.W&amp;Services'!H197=0,"",'H.W&amp;S.W&amp;Services'!H197)</f>
        <v/>
      </c>
      <c r="E183" s="2" t="str">
        <f>IF('H.W&amp;S.W&amp;Services'!I197=0,"",'H.W&amp;S.W&amp;Services'!I197)</f>
        <v/>
      </c>
      <c r="F183" s="3" t="str">
        <f>IF('H.W&amp;S.W&amp;Services'!J197=0,"",'H.W&amp;S.W&amp;Services'!J197)</f>
        <v/>
      </c>
      <c r="G183" s="4" t="str">
        <f>IF('H.W&amp;S.W&amp;Services'!O197=0,"",'H.W&amp;S.W&amp;Services'!O197)</f>
        <v/>
      </c>
      <c r="H183" s="2" t="str">
        <f>IF('H.W&amp;S.W&amp;Services'!B197=0,"",'H.W&amp;S.W&amp;Services'!B197) &amp; IF('H.W&amp;S.W&amp;Services'!F197=0,""," / "&amp;'H.W&amp;S.W&amp;Services'!F197) &amp; IF('H.W&amp;S.W&amp;Services'!G197=0,""," / "&amp;'H.W&amp;S.W&amp;Services'!G197)</f>
        <v/>
      </c>
      <c r="I183" t="str">
        <f>IF('H.W&amp;S.W&amp;Services'!D197=0,"",'H.W&amp;S.W&amp;Services'!D197)</f>
        <v/>
      </c>
      <c r="J183" s="2" t="str">
        <f>IF('H.W&amp;S.W&amp;Services'!E197=0,"",'H.W&amp;S.W&amp;Services'!E197)</f>
        <v/>
      </c>
    </row>
    <row r="184" spans="1:10" x14ac:dyDescent="0.2">
      <c r="A184" s="2" t="str">
        <f t="shared" ca="1" si="2"/>
        <v/>
      </c>
      <c r="B184" s="2" t="str">
        <f>IF('H.W&amp;S.W&amp;Services'!C198=0,"",'H.W&amp;S.W&amp;Services'!C198)</f>
        <v/>
      </c>
      <c r="C184" s="2" t="str">
        <f>IF('H.W&amp;S.W&amp;Services'!C198=0,"",'H.W&amp;S.W&amp;Services'!C198)</f>
        <v/>
      </c>
      <c r="D184" s="2" t="str">
        <f>IF('H.W&amp;S.W&amp;Services'!H198=0,"",'H.W&amp;S.W&amp;Services'!H198)</f>
        <v/>
      </c>
      <c r="E184" s="2" t="str">
        <f>IF('H.W&amp;S.W&amp;Services'!I198=0,"",'H.W&amp;S.W&amp;Services'!I198)</f>
        <v/>
      </c>
      <c r="F184" s="3" t="str">
        <f>IF('H.W&amp;S.W&amp;Services'!J198=0,"",'H.W&amp;S.W&amp;Services'!J198)</f>
        <v/>
      </c>
      <c r="G184" s="4" t="str">
        <f>IF('H.W&amp;S.W&amp;Services'!O198=0,"",'H.W&amp;S.W&amp;Services'!O198)</f>
        <v/>
      </c>
      <c r="H184" s="2" t="str">
        <f>IF('H.W&amp;S.W&amp;Services'!B198=0,"",'H.W&amp;S.W&amp;Services'!B198) &amp; IF('H.W&amp;S.W&amp;Services'!F198=0,""," / "&amp;'H.W&amp;S.W&amp;Services'!F198) &amp; IF('H.W&amp;S.W&amp;Services'!G198=0,""," / "&amp;'H.W&amp;S.W&amp;Services'!G198)</f>
        <v/>
      </c>
      <c r="I184" t="str">
        <f>IF('H.W&amp;S.W&amp;Services'!D198=0,"",'H.W&amp;S.W&amp;Services'!D198)</f>
        <v/>
      </c>
      <c r="J184" s="2" t="str">
        <f>IF('H.W&amp;S.W&amp;Services'!E198=0,"",'H.W&amp;S.W&amp;Services'!E198)</f>
        <v/>
      </c>
    </row>
    <row r="185" spans="1:10" x14ac:dyDescent="0.2">
      <c r="A185" s="2" t="str">
        <f t="shared" ca="1" si="2"/>
        <v/>
      </c>
      <c r="B185" s="2" t="str">
        <f>IF('H.W&amp;S.W&amp;Services'!C199=0,"",'H.W&amp;S.W&amp;Services'!C199)</f>
        <v/>
      </c>
      <c r="C185" s="2" t="str">
        <f>IF('H.W&amp;S.W&amp;Services'!C199=0,"",'H.W&amp;S.W&amp;Services'!C199)</f>
        <v/>
      </c>
      <c r="D185" s="2" t="str">
        <f>IF('H.W&amp;S.W&amp;Services'!H199=0,"",'H.W&amp;S.W&amp;Services'!H199)</f>
        <v/>
      </c>
      <c r="E185" s="2" t="str">
        <f>IF('H.W&amp;S.W&amp;Services'!I199=0,"",'H.W&amp;S.W&amp;Services'!I199)</f>
        <v/>
      </c>
      <c r="F185" s="3" t="str">
        <f>IF('H.W&amp;S.W&amp;Services'!J199=0,"",'H.W&amp;S.W&amp;Services'!J199)</f>
        <v/>
      </c>
      <c r="G185" s="4" t="str">
        <f>IF('H.W&amp;S.W&amp;Services'!O199=0,"",'H.W&amp;S.W&amp;Services'!O199)</f>
        <v/>
      </c>
      <c r="H185" s="2" t="str">
        <f>IF('H.W&amp;S.W&amp;Services'!B199=0,"",'H.W&amp;S.W&amp;Services'!B199) &amp; IF('H.W&amp;S.W&amp;Services'!F199=0,""," / "&amp;'H.W&amp;S.W&amp;Services'!F199) &amp; IF('H.W&amp;S.W&amp;Services'!G199=0,""," / "&amp;'H.W&amp;S.W&amp;Services'!G199)</f>
        <v/>
      </c>
      <c r="I185" t="str">
        <f>IF('H.W&amp;S.W&amp;Services'!D199=0,"",'H.W&amp;S.W&amp;Services'!D199)</f>
        <v/>
      </c>
      <c r="J185" s="2" t="str">
        <f>IF('H.W&amp;S.W&amp;Services'!E199=0,"",'H.W&amp;S.W&amp;Services'!E199)</f>
        <v/>
      </c>
    </row>
    <row r="186" spans="1:10" x14ac:dyDescent="0.2">
      <c r="A186" s="2" t="str">
        <f t="shared" ca="1" si="2"/>
        <v/>
      </c>
      <c r="B186" s="2" t="str">
        <f>IF('H.W&amp;S.W&amp;Services'!C200=0,"",'H.W&amp;S.W&amp;Services'!C200)</f>
        <v/>
      </c>
      <c r="C186" s="2" t="str">
        <f>IF('H.W&amp;S.W&amp;Services'!C200=0,"",'H.W&amp;S.W&amp;Services'!C200)</f>
        <v/>
      </c>
      <c r="D186" s="2" t="str">
        <f>IF('H.W&amp;S.W&amp;Services'!H200=0,"",'H.W&amp;S.W&amp;Services'!H200)</f>
        <v/>
      </c>
      <c r="E186" s="2" t="str">
        <f>IF('H.W&amp;S.W&amp;Services'!I200=0,"",'H.W&amp;S.W&amp;Services'!I200)</f>
        <v/>
      </c>
      <c r="F186" s="3" t="str">
        <f>IF('H.W&amp;S.W&amp;Services'!J200=0,"",'H.W&amp;S.W&amp;Services'!J200)</f>
        <v/>
      </c>
      <c r="G186" s="4" t="str">
        <f>IF('H.W&amp;S.W&amp;Services'!O200=0,"",'H.W&amp;S.W&amp;Services'!O200)</f>
        <v/>
      </c>
      <c r="H186" s="2" t="str">
        <f>IF('H.W&amp;S.W&amp;Services'!B200=0,"",'H.W&amp;S.W&amp;Services'!B200) &amp; IF('H.W&amp;S.W&amp;Services'!F200=0,""," / "&amp;'H.W&amp;S.W&amp;Services'!F200) &amp; IF('H.W&amp;S.W&amp;Services'!G200=0,""," / "&amp;'H.W&amp;S.W&amp;Services'!G200)</f>
        <v/>
      </c>
      <c r="I186" t="str">
        <f>IF('H.W&amp;S.W&amp;Services'!D200=0,"",'H.W&amp;S.W&amp;Services'!D200)</f>
        <v/>
      </c>
      <c r="J186" s="2" t="str">
        <f>IF('H.W&amp;S.W&amp;Services'!E200=0,"",'H.W&amp;S.W&amp;Services'!E200)</f>
        <v/>
      </c>
    </row>
    <row r="187" spans="1:10" x14ac:dyDescent="0.2">
      <c r="A187" s="2" t="str">
        <f t="shared" ca="1" si="2"/>
        <v/>
      </c>
      <c r="B187" s="2" t="str">
        <f>IF('H.W&amp;S.W&amp;Services'!C201=0,"",'H.W&amp;S.W&amp;Services'!C201)</f>
        <v/>
      </c>
      <c r="C187" s="2" t="str">
        <f>IF('H.W&amp;S.W&amp;Services'!C201=0,"",'H.W&amp;S.W&amp;Services'!C201)</f>
        <v/>
      </c>
      <c r="D187" s="2" t="str">
        <f>IF('H.W&amp;S.W&amp;Services'!H201=0,"",'H.W&amp;S.W&amp;Services'!H201)</f>
        <v/>
      </c>
      <c r="E187" s="2" t="str">
        <f>IF('H.W&amp;S.W&amp;Services'!I201=0,"",'H.W&amp;S.W&amp;Services'!I201)</f>
        <v/>
      </c>
      <c r="F187" s="3" t="str">
        <f>IF('H.W&amp;S.W&amp;Services'!J201=0,"",'H.W&amp;S.W&amp;Services'!J201)</f>
        <v/>
      </c>
      <c r="G187" s="4" t="str">
        <f>IF('H.W&amp;S.W&amp;Services'!O201=0,"",'H.W&amp;S.W&amp;Services'!O201)</f>
        <v/>
      </c>
      <c r="H187" s="2" t="str">
        <f>IF('H.W&amp;S.W&amp;Services'!B201=0,"",'H.W&amp;S.W&amp;Services'!B201) &amp; IF('H.W&amp;S.W&amp;Services'!F201=0,""," / "&amp;'H.W&amp;S.W&amp;Services'!F201) &amp; IF('H.W&amp;S.W&amp;Services'!G201=0,""," / "&amp;'H.W&amp;S.W&amp;Services'!G201)</f>
        <v/>
      </c>
      <c r="I187" t="str">
        <f>IF('H.W&amp;S.W&amp;Services'!D201=0,"",'H.W&amp;S.W&amp;Services'!D201)</f>
        <v/>
      </c>
      <c r="J187" s="2" t="str">
        <f>IF('H.W&amp;S.W&amp;Services'!E201=0,"",'H.W&amp;S.W&amp;Services'!E201)</f>
        <v/>
      </c>
    </row>
    <row r="188" spans="1:10" x14ac:dyDescent="0.2">
      <c r="A188" s="2" t="str">
        <f t="shared" ca="1" si="2"/>
        <v/>
      </c>
      <c r="B188" s="2" t="str">
        <f>IF('H.W&amp;S.W&amp;Services'!C202=0,"",'H.W&amp;S.W&amp;Services'!C202)</f>
        <v/>
      </c>
      <c r="C188" s="2" t="str">
        <f>IF('H.W&amp;S.W&amp;Services'!C202=0,"",'H.W&amp;S.W&amp;Services'!C202)</f>
        <v/>
      </c>
      <c r="D188" s="2" t="str">
        <f>IF('H.W&amp;S.W&amp;Services'!H202=0,"",'H.W&amp;S.W&amp;Services'!H202)</f>
        <v/>
      </c>
      <c r="E188" s="2" t="str">
        <f>IF('H.W&amp;S.W&amp;Services'!I202=0,"",'H.W&amp;S.W&amp;Services'!I202)</f>
        <v/>
      </c>
      <c r="F188" s="3" t="str">
        <f>IF('H.W&amp;S.W&amp;Services'!J202=0,"",'H.W&amp;S.W&amp;Services'!J202)</f>
        <v/>
      </c>
      <c r="G188" s="4" t="str">
        <f>IF('H.W&amp;S.W&amp;Services'!O202=0,"",'H.W&amp;S.W&amp;Services'!O202)</f>
        <v/>
      </c>
      <c r="H188" s="2" t="str">
        <f>IF('H.W&amp;S.W&amp;Services'!B202=0,"",'H.W&amp;S.W&amp;Services'!B202) &amp; IF('H.W&amp;S.W&amp;Services'!F202=0,""," / "&amp;'H.W&amp;S.W&amp;Services'!F202) &amp; IF('H.W&amp;S.W&amp;Services'!G202=0,""," / "&amp;'H.W&amp;S.W&amp;Services'!G202)</f>
        <v/>
      </c>
      <c r="I188" t="str">
        <f>IF('H.W&amp;S.W&amp;Services'!D202=0,"",'H.W&amp;S.W&amp;Services'!D202)</f>
        <v/>
      </c>
      <c r="J188" s="2" t="str">
        <f>IF('H.W&amp;S.W&amp;Services'!E202=0,"",'H.W&amp;S.W&amp;Services'!E202)</f>
        <v/>
      </c>
    </row>
    <row r="189" spans="1:10" x14ac:dyDescent="0.2">
      <c r="A189" s="2" t="str">
        <f t="shared" ca="1" si="2"/>
        <v/>
      </c>
      <c r="B189" s="2" t="str">
        <f>IF('H.W&amp;S.W&amp;Services'!C203=0,"",'H.W&amp;S.W&amp;Services'!C203)</f>
        <v/>
      </c>
      <c r="C189" s="2" t="str">
        <f>IF('H.W&amp;S.W&amp;Services'!C203=0,"",'H.W&amp;S.W&amp;Services'!C203)</f>
        <v/>
      </c>
      <c r="D189" s="2" t="str">
        <f>IF('H.W&amp;S.W&amp;Services'!H203=0,"",'H.W&amp;S.W&amp;Services'!H203)</f>
        <v/>
      </c>
      <c r="E189" s="2" t="str">
        <f>IF('H.W&amp;S.W&amp;Services'!I203=0,"",'H.W&amp;S.W&amp;Services'!I203)</f>
        <v/>
      </c>
      <c r="F189" s="3" t="str">
        <f>IF('H.W&amp;S.W&amp;Services'!J203=0,"",'H.W&amp;S.W&amp;Services'!J203)</f>
        <v/>
      </c>
      <c r="G189" s="4" t="str">
        <f>IF('H.W&amp;S.W&amp;Services'!O203=0,"",'H.W&amp;S.W&amp;Services'!O203)</f>
        <v/>
      </c>
      <c r="H189" s="2" t="str">
        <f>IF('H.W&amp;S.W&amp;Services'!B203=0,"",'H.W&amp;S.W&amp;Services'!B203) &amp; IF('H.W&amp;S.W&amp;Services'!F203=0,""," / "&amp;'H.W&amp;S.W&amp;Services'!F203) &amp; IF('H.W&amp;S.W&amp;Services'!G203=0,""," / "&amp;'H.W&amp;S.W&amp;Services'!G203)</f>
        <v/>
      </c>
      <c r="I189" t="str">
        <f>IF('H.W&amp;S.W&amp;Services'!D203=0,"",'H.W&amp;S.W&amp;Services'!D203)</f>
        <v/>
      </c>
      <c r="J189" s="2" t="str">
        <f>IF('H.W&amp;S.W&amp;Services'!E203=0,"",'H.W&amp;S.W&amp;Services'!E203)</f>
        <v/>
      </c>
    </row>
    <row r="190" spans="1:10" x14ac:dyDescent="0.2">
      <c r="A190" s="2" t="str">
        <f t="shared" ca="1" si="2"/>
        <v/>
      </c>
      <c r="B190" s="2" t="str">
        <f>IF('H.W&amp;S.W&amp;Services'!C204=0,"",'H.W&amp;S.W&amp;Services'!C204)</f>
        <v/>
      </c>
      <c r="C190" s="2" t="str">
        <f>IF('H.W&amp;S.W&amp;Services'!C204=0,"",'H.W&amp;S.W&amp;Services'!C204)</f>
        <v/>
      </c>
      <c r="D190" s="2" t="str">
        <f>IF('H.W&amp;S.W&amp;Services'!H204=0,"",'H.W&amp;S.W&amp;Services'!H204)</f>
        <v/>
      </c>
      <c r="E190" s="2" t="str">
        <f>IF('H.W&amp;S.W&amp;Services'!I204=0,"",'H.W&amp;S.W&amp;Services'!I204)</f>
        <v/>
      </c>
      <c r="F190" s="3" t="str">
        <f>IF('H.W&amp;S.W&amp;Services'!J204=0,"",'H.W&amp;S.W&amp;Services'!J204)</f>
        <v/>
      </c>
      <c r="G190" s="4" t="str">
        <f>IF('H.W&amp;S.W&amp;Services'!O204=0,"",'H.W&amp;S.W&amp;Services'!O204)</f>
        <v/>
      </c>
      <c r="H190" s="2" t="str">
        <f>IF('H.W&amp;S.W&amp;Services'!B204=0,"",'H.W&amp;S.W&amp;Services'!B204) &amp; IF('H.W&amp;S.W&amp;Services'!F204=0,""," / "&amp;'H.W&amp;S.W&amp;Services'!F204) &amp; IF('H.W&amp;S.W&amp;Services'!G204=0,""," / "&amp;'H.W&amp;S.W&amp;Services'!G204)</f>
        <v/>
      </c>
      <c r="I190" t="str">
        <f>IF('H.W&amp;S.W&amp;Services'!D204=0,"",'H.W&amp;S.W&amp;Services'!D204)</f>
        <v/>
      </c>
      <c r="J190" s="2" t="str">
        <f>IF('H.W&amp;S.W&amp;Services'!E204=0,"",'H.W&amp;S.W&amp;Services'!E204)</f>
        <v/>
      </c>
    </row>
    <row r="191" spans="1:10" x14ac:dyDescent="0.2">
      <c r="A191" s="2" t="str">
        <f t="shared" ca="1" si="2"/>
        <v/>
      </c>
      <c r="B191" s="2" t="str">
        <f>IF('H.W&amp;S.W&amp;Services'!C205=0,"",'H.W&amp;S.W&amp;Services'!C205)</f>
        <v/>
      </c>
      <c r="C191" s="2" t="str">
        <f>IF('H.W&amp;S.W&amp;Services'!C205=0,"",'H.W&amp;S.W&amp;Services'!C205)</f>
        <v/>
      </c>
      <c r="D191" s="2" t="str">
        <f>IF('H.W&amp;S.W&amp;Services'!H205=0,"",'H.W&amp;S.W&amp;Services'!H205)</f>
        <v/>
      </c>
      <c r="E191" s="2" t="str">
        <f>IF('H.W&amp;S.W&amp;Services'!I205=0,"",'H.W&amp;S.W&amp;Services'!I205)</f>
        <v/>
      </c>
      <c r="F191" s="3" t="str">
        <f>IF('H.W&amp;S.W&amp;Services'!J205=0,"",'H.W&amp;S.W&amp;Services'!J205)</f>
        <v/>
      </c>
      <c r="G191" s="4" t="str">
        <f>IF('H.W&amp;S.W&amp;Services'!O205=0,"",'H.W&amp;S.W&amp;Services'!O205)</f>
        <v/>
      </c>
      <c r="H191" s="2" t="str">
        <f>IF('H.W&amp;S.W&amp;Services'!B205=0,"",'H.W&amp;S.W&amp;Services'!B205) &amp; IF('H.W&amp;S.W&amp;Services'!F205=0,""," / "&amp;'H.W&amp;S.W&amp;Services'!F205) &amp; IF('H.W&amp;S.W&amp;Services'!G205=0,""," / "&amp;'H.W&amp;S.W&amp;Services'!G205)</f>
        <v/>
      </c>
      <c r="I191" t="str">
        <f>IF('H.W&amp;S.W&amp;Services'!D205=0,"",'H.W&amp;S.W&amp;Services'!D205)</f>
        <v/>
      </c>
      <c r="J191" s="2" t="str">
        <f>IF('H.W&amp;S.W&amp;Services'!E205=0,"",'H.W&amp;S.W&amp;Services'!E205)</f>
        <v/>
      </c>
    </row>
    <row r="192" spans="1:10" x14ac:dyDescent="0.2">
      <c r="A192" s="2" t="str">
        <f t="shared" ca="1" si="2"/>
        <v/>
      </c>
      <c r="B192" s="2" t="str">
        <f>IF('H.W&amp;S.W&amp;Services'!C206=0,"",'H.W&amp;S.W&amp;Services'!C206)</f>
        <v/>
      </c>
      <c r="C192" s="2" t="str">
        <f>IF('H.W&amp;S.W&amp;Services'!C206=0,"",'H.W&amp;S.W&amp;Services'!C206)</f>
        <v/>
      </c>
      <c r="D192" s="2" t="str">
        <f>IF('H.W&amp;S.W&amp;Services'!H206=0,"",'H.W&amp;S.W&amp;Services'!H206)</f>
        <v/>
      </c>
      <c r="E192" s="2" t="str">
        <f>IF('H.W&amp;S.W&amp;Services'!I206=0,"",'H.W&amp;S.W&amp;Services'!I206)</f>
        <v/>
      </c>
      <c r="F192" s="3" t="str">
        <f>IF('H.W&amp;S.W&amp;Services'!J206=0,"",'H.W&amp;S.W&amp;Services'!J206)</f>
        <v/>
      </c>
      <c r="G192" s="4" t="str">
        <f>IF('H.W&amp;S.W&amp;Services'!O206=0,"",'H.W&amp;S.W&amp;Services'!O206)</f>
        <v/>
      </c>
      <c r="H192" s="2" t="str">
        <f>IF('H.W&amp;S.W&amp;Services'!B206=0,"",'H.W&amp;S.W&amp;Services'!B206) &amp; IF('H.W&amp;S.W&amp;Services'!F206=0,""," / "&amp;'H.W&amp;S.W&amp;Services'!F206) &amp; IF('H.W&amp;S.W&amp;Services'!G206=0,""," / "&amp;'H.W&amp;S.W&amp;Services'!G206)</f>
        <v/>
      </c>
      <c r="I192" t="str">
        <f>IF('H.W&amp;S.W&amp;Services'!D206=0,"",'H.W&amp;S.W&amp;Services'!D206)</f>
        <v/>
      </c>
      <c r="J192" s="2" t="str">
        <f>IF('H.W&amp;S.W&amp;Services'!E206=0,"",'H.W&amp;S.W&amp;Services'!E206)</f>
        <v/>
      </c>
    </row>
    <row r="193" spans="1:10" x14ac:dyDescent="0.2">
      <c r="A193" s="2" t="str">
        <f t="shared" ca="1" si="2"/>
        <v/>
      </c>
      <c r="B193" s="2" t="str">
        <f>IF('H.W&amp;S.W&amp;Services'!C207=0,"",'H.W&amp;S.W&amp;Services'!C207)</f>
        <v/>
      </c>
      <c r="C193" s="2" t="str">
        <f>IF('H.W&amp;S.W&amp;Services'!C207=0,"",'H.W&amp;S.W&amp;Services'!C207)</f>
        <v/>
      </c>
      <c r="D193" s="2" t="str">
        <f>IF('H.W&amp;S.W&amp;Services'!H207=0,"",'H.W&amp;S.W&amp;Services'!H207)</f>
        <v/>
      </c>
      <c r="E193" s="2" t="str">
        <f>IF('H.W&amp;S.W&amp;Services'!I207=0,"",'H.W&amp;S.W&amp;Services'!I207)</f>
        <v/>
      </c>
      <c r="F193" s="3" t="str">
        <f>IF('H.W&amp;S.W&amp;Services'!J207=0,"",'H.W&amp;S.W&amp;Services'!J207)</f>
        <v/>
      </c>
      <c r="G193" s="4" t="str">
        <f>IF('H.W&amp;S.W&amp;Services'!O207=0,"",'H.W&amp;S.W&amp;Services'!O207)</f>
        <v/>
      </c>
      <c r="H193" s="2" t="str">
        <f>IF('H.W&amp;S.W&amp;Services'!B207=0,"",'H.W&amp;S.W&amp;Services'!B207) &amp; IF('H.W&amp;S.W&amp;Services'!F207=0,""," / "&amp;'H.W&amp;S.W&amp;Services'!F207) &amp; IF('H.W&amp;S.W&amp;Services'!G207=0,""," / "&amp;'H.W&amp;S.W&amp;Services'!G207)</f>
        <v/>
      </c>
      <c r="I193" t="str">
        <f>IF('H.W&amp;S.W&amp;Services'!D207=0,"",'H.W&amp;S.W&amp;Services'!D207)</f>
        <v/>
      </c>
      <c r="J193" s="2" t="str">
        <f>IF('H.W&amp;S.W&amp;Services'!E207=0,"",'H.W&amp;S.W&amp;Services'!E207)</f>
        <v/>
      </c>
    </row>
    <row r="194" spans="1:10" x14ac:dyDescent="0.2">
      <c r="A194" s="2" t="str">
        <f t="shared" ca="1" si="2"/>
        <v/>
      </c>
      <c r="B194" s="2" t="str">
        <f>IF('H.W&amp;S.W&amp;Services'!C208=0,"",'H.W&amp;S.W&amp;Services'!C208)</f>
        <v/>
      </c>
      <c r="C194" s="2" t="str">
        <f>IF('H.W&amp;S.W&amp;Services'!C208=0,"",'H.W&amp;S.W&amp;Services'!C208)</f>
        <v/>
      </c>
      <c r="D194" s="2" t="str">
        <f>IF('H.W&amp;S.W&amp;Services'!H208=0,"",'H.W&amp;S.W&amp;Services'!H208)</f>
        <v/>
      </c>
      <c r="E194" s="2" t="str">
        <f>IF('H.W&amp;S.W&amp;Services'!I208=0,"",'H.W&amp;S.W&amp;Services'!I208)</f>
        <v/>
      </c>
      <c r="F194" s="3" t="str">
        <f>IF('H.W&amp;S.W&amp;Services'!J208=0,"",'H.W&amp;S.W&amp;Services'!J208)</f>
        <v/>
      </c>
      <c r="G194" s="4" t="str">
        <f>IF('H.W&amp;S.W&amp;Services'!O208=0,"",'H.W&amp;S.W&amp;Services'!O208)</f>
        <v/>
      </c>
      <c r="H194" s="2" t="str">
        <f>IF('H.W&amp;S.W&amp;Services'!B208=0,"",'H.W&amp;S.W&amp;Services'!B208) &amp; IF('H.W&amp;S.W&amp;Services'!F208=0,""," / "&amp;'H.W&amp;S.W&amp;Services'!F208) &amp; IF('H.W&amp;S.W&amp;Services'!G208=0,""," / "&amp;'H.W&amp;S.W&amp;Services'!G208)</f>
        <v/>
      </c>
      <c r="I194" t="str">
        <f>IF('H.W&amp;S.W&amp;Services'!D208=0,"",'H.W&amp;S.W&amp;Services'!D208)</f>
        <v/>
      </c>
      <c r="J194" s="2" t="str">
        <f>IF('H.W&amp;S.W&amp;Services'!E208=0,"",'H.W&amp;S.W&amp;Services'!E208)</f>
        <v/>
      </c>
    </row>
    <row r="195" spans="1:10" x14ac:dyDescent="0.2">
      <c r="A195" s="2" t="str">
        <f t="shared" ca="1" si="2"/>
        <v/>
      </c>
      <c r="B195" s="2" t="str">
        <f>IF('H.W&amp;S.W&amp;Services'!C209=0,"",'H.W&amp;S.W&amp;Services'!C209)</f>
        <v/>
      </c>
      <c r="C195" s="2" t="str">
        <f>IF('H.W&amp;S.W&amp;Services'!C209=0,"",'H.W&amp;S.W&amp;Services'!C209)</f>
        <v/>
      </c>
      <c r="D195" s="2" t="str">
        <f>IF('H.W&amp;S.W&amp;Services'!H209=0,"",'H.W&amp;S.W&amp;Services'!H209)</f>
        <v/>
      </c>
      <c r="E195" s="2" t="str">
        <f>IF('H.W&amp;S.W&amp;Services'!I209=0,"",'H.W&amp;S.W&amp;Services'!I209)</f>
        <v/>
      </c>
      <c r="F195" s="3" t="str">
        <f>IF('H.W&amp;S.W&amp;Services'!J209=0,"",'H.W&amp;S.W&amp;Services'!J209)</f>
        <v/>
      </c>
      <c r="G195" s="4" t="str">
        <f>IF('H.W&amp;S.W&amp;Services'!O209=0,"",'H.W&amp;S.W&amp;Services'!O209)</f>
        <v/>
      </c>
      <c r="H195" s="2" t="str">
        <f>IF('H.W&amp;S.W&amp;Services'!B209=0,"",'H.W&amp;S.W&amp;Services'!B209) &amp; IF('H.W&amp;S.W&amp;Services'!F209=0,""," / "&amp;'H.W&amp;S.W&amp;Services'!F209) &amp; IF('H.W&amp;S.W&amp;Services'!G209=0,""," / "&amp;'H.W&amp;S.W&amp;Services'!G209)</f>
        <v/>
      </c>
      <c r="I195" t="str">
        <f>IF('H.W&amp;S.W&amp;Services'!D209=0,"",'H.W&amp;S.W&amp;Services'!D209)</f>
        <v/>
      </c>
      <c r="J195" s="2" t="str">
        <f>IF('H.W&amp;S.W&amp;Services'!E209=0,"",'H.W&amp;S.W&amp;Services'!E209)</f>
        <v/>
      </c>
    </row>
    <row r="196" spans="1:10" x14ac:dyDescent="0.2">
      <c r="A196" s="2" t="str">
        <f t="shared" ref="A196:A200" ca="1" si="3">IF(C196="","",RANDBETWEEN(1,10000000000)&amp;B196&amp;LEFT(D196,10))</f>
        <v/>
      </c>
      <c r="B196" s="2" t="str">
        <f>IF('H.W&amp;S.W&amp;Services'!C210=0,"",'H.W&amp;S.W&amp;Services'!C210)</f>
        <v/>
      </c>
      <c r="C196" s="2" t="str">
        <f>IF('H.W&amp;S.W&amp;Services'!C210=0,"",'H.W&amp;S.W&amp;Services'!C210)</f>
        <v/>
      </c>
      <c r="D196" s="2" t="str">
        <f>IF('H.W&amp;S.W&amp;Services'!H210=0,"",'H.W&amp;S.W&amp;Services'!H210)</f>
        <v/>
      </c>
      <c r="E196" s="2" t="str">
        <f>IF('H.W&amp;S.W&amp;Services'!I210=0,"",'H.W&amp;S.W&amp;Services'!I210)</f>
        <v/>
      </c>
      <c r="F196" s="3" t="str">
        <f>IF('H.W&amp;S.W&amp;Services'!J210=0,"",'H.W&amp;S.W&amp;Services'!J210)</f>
        <v/>
      </c>
      <c r="G196" s="4" t="str">
        <f>IF('H.W&amp;S.W&amp;Services'!O210=0,"",'H.W&amp;S.W&amp;Services'!O210)</f>
        <v/>
      </c>
      <c r="H196" s="2" t="str">
        <f>IF('H.W&amp;S.W&amp;Services'!B210=0,"",'H.W&amp;S.W&amp;Services'!B210) &amp; IF('H.W&amp;S.W&amp;Services'!F210=0,""," / "&amp;'H.W&amp;S.W&amp;Services'!F210) &amp; IF('H.W&amp;S.W&amp;Services'!G210=0,""," / "&amp;'H.W&amp;S.W&amp;Services'!G210)</f>
        <v/>
      </c>
      <c r="I196" t="str">
        <f>IF('H.W&amp;S.W&amp;Services'!D210=0,"",'H.W&amp;S.W&amp;Services'!D210)</f>
        <v/>
      </c>
      <c r="J196" s="2" t="str">
        <f>IF('H.W&amp;S.W&amp;Services'!E210=0,"",'H.W&amp;S.W&amp;Services'!E210)</f>
        <v/>
      </c>
    </row>
    <row r="197" spans="1:10" x14ac:dyDescent="0.2">
      <c r="A197" s="2" t="str">
        <f t="shared" ca="1" si="3"/>
        <v/>
      </c>
      <c r="B197" s="2" t="str">
        <f>IF('H.W&amp;S.W&amp;Services'!C211=0,"",'H.W&amp;S.W&amp;Services'!C211)</f>
        <v/>
      </c>
      <c r="C197" s="2" t="str">
        <f>IF('H.W&amp;S.W&amp;Services'!C211=0,"",'H.W&amp;S.W&amp;Services'!C211)</f>
        <v/>
      </c>
      <c r="D197" s="2" t="str">
        <f>IF('H.W&amp;S.W&amp;Services'!H211=0,"",'H.W&amp;S.W&amp;Services'!H211)</f>
        <v/>
      </c>
      <c r="E197" s="2" t="str">
        <f>IF('H.W&amp;S.W&amp;Services'!I211=0,"",'H.W&amp;S.W&amp;Services'!I211)</f>
        <v/>
      </c>
      <c r="F197" s="3" t="str">
        <f>IF('H.W&amp;S.W&amp;Services'!J211=0,"",'H.W&amp;S.W&amp;Services'!J211)</f>
        <v/>
      </c>
      <c r="G197" s="4" t="str">
        <f>IF('H.W&amp;S.W&amp;Services'!O211=0,"",'H.W&amp;S.W&amp;Services'!O211)</f>
        <v/>
      </c>
      <c r="H197" s="2" t="str">
        <f>IF('H.W&amp;S.W&amp;Services'!B211=0,"",'H.W&amp;S.W&amp;Services'!B211) &amp; IF('H.W&amp;S.W&amp;Services'!F211=0,""," / "&amp;'H.W&amp;S.W&amp;Services'!F211) &amp; IF('H.W&amp;S.W&amp;Services'!G211=0,""," / "&amp;'H.W&amp;S.W&amp;Services'!G211)</f>
        <v/>
      </c>
      <c r="I197" t="str">
        <f>IF('H.W&amp;S.W&amp;Services'!D211=0,"",'H.W&amp;S.W&amp;Services'!D211)</f>
        <v/>
      </c>
      <c r="J197" s="2" t="str">
        <f>IF('H.W&amp;S.W&amp;Services'!E211=0,"",'H.W&amp;S.W&amp;Services'!E211)</f>
        <v/>
      </c>
    </row>
    <row r="198" spans="1:10" x14ac:dyDescent="0.2">
      <c r="A198" s="2" t="str">
        <f t="shared" ca="1" si="3"/>
        <v/>
      </c>
      <c r="B198" s="2" t="str">
        <f>IF('H.W&amp;S.W&amp;Services'!C212=0,"",'H.W&amp;S.W&amp;Services'!C212)</f>
        <v/>
      </c>
      <c r="C198" s="2" t="str">
        <f>IF('H.W&amp;S.W&amp;Services'!C212=0,"",'H.W&amp;S.W&amp;Services'!C212)</f>
        <v/>
      </c>
      <c r="D198" s="2" t="str">
        <f>IF('H.W&amp;S.W&amp;Services'!H212=0,"",'H.W&amp;S.W&amp;Services'!H212)</f>
        <v/>
      </c>
      <c r="E198" s="2" t="str">
        <f>IF('H.W&amp;S.W&amp;Services'!I212=0,"",'H.W&amp;S.W&amp;Services'!I212)</f>
        <v/>
      </c>
      <c r="F198" s="3" t="str">
        <f>IF('H.W&amp;S.W&amp;Services'!J212=0,"",'H.W&amp;S.W&amp;Services'!J212)</f>
        <v/>
      </c>
      <c r="G198" s="4" t="str">
        <f>IF('H.W&amp;S.W&amp;Services'!O212=0,"",'H.W&amp;S.W&amp;Services'!O212)</f>
        <v/>
      </c>
      <c r="H198" s="2" t="str">
        <f>IF('H.W&amp;S.W&amp;Services'!B212=0,"",'H.W&amp;S.W&amp;Services'!B212) &amp; IF('H.W&amp;S.W&amp;Services'!F212=0,""," / "&amp;'H.W&amp;S.W&amp;Services'!F212) &amp; IF('H.W&amp;S.W&amp;Services'!G212=0,""," / "&amp;'H.W&amp;S.W&amp;Services'!G212)</f>
        <v/>
      </c>
      <c r="I198" t="str">
        <f>IF('H.W&amp;S.W&amp;Services'!D212=0,"",'H.W&amp;S.W&amp;Services'!D212)</f>
        <v/>
      </c>
      <c r="J198" s="2" t="str">
        <f>IF('H.W&amp;S.W&amp;Services'!E212=0,"",'H.W&amp;S.W&amp;Services'!E212)</f>
        <v/>
      </c>
    </row>
    <row r="199" spans="1:10" x14ac:dyDescent="0.2">
      <c r="A199" s="2" t="str">
        <f t="shared" ca="1" si="3"/>
        <v/>
      </c>
      <c r="B199" s="2" t="str">
        <f>IF('H.W&amp;S.W&amp;Services'!C213=0,"",'H.W&amp;S.W&amp;Services'!C213)</f>
        <v/>
      </c>
      <c r="C199" s="2" t="str">
        <f>IF('H.W&amp;S.W&amp;Services'!C213=0,"",'H.W&amp;S.W&amp;Services'!C213)</f>
        <v/>
      </c>
      <c r="D199" s="2" t="str">
        <f>IF('H.W&amp;S.W&amp;Services'!H213=0,"",'H.W&amp;S.W&amp;Services'!H213)</f>
        <v/>
      </c>
      <c r="E199" s="2" t="str">
        <f>IF('H.W&amp;S.W&amp;Services'!I213=0,"",'H.W&amp;S.W&amp;Services'!I213)</f>
        <v/>
      </c>
      <c r="F199" s="3" t="str">
        <f>IF('H.W&amp;S.W&amp;Services'!J213=0,"",'H.W&amp;S.W&amp;Services'!J213)</f>
        <v/>
      </c>
      <c r="G199" s="4" t="str">
        <f>IF('H.W&amp;S.W&amp;Services'!O213=0,"",'H.W&amp;S.W&amp;Services'!O213)</f>
        <v/>
      </c>
      <c r="H199" s="2" t="str">
        <f>IF('H.W&amp;S.W&amp;Services'!B213=0,"",'H.W&amp;S.W&amp;Services'!B213) &amp; IF('H.W&amp;S.W&amp;Services'!F213=0,""," / "&amp;'H.W&amp;S.W&amp;Services'!F213) &amp; IF('H.W&amp;S.W&amp;Services'!G213=0,""," / "&amp;'H.W&amp;S.W&amp;Services'!G213)</f>
        <v/>
      </c>
      <c r="I199" t="str">
        <f>IF('H.W&amp;S.W&amp;Services'!D213=0,"",'H.W&amp;S.W&amp;Services'!D213)</f>
        <v/>
      </c>
      <c r="J199" s="2" t="str">
        <f>IF('H.W&amp;S.W&amp;Services'!E213=0,"",'H.W&amp;S.W&amp;Services'!E213)</f>
        <v/>
      </c>
    </row>
    <row r="200" spans="1:10" x14ac:dyDescent="0.2">
      <c r="A200" s="2" t="str">
        <f t="shared" ca="1" si="3"/>
        <v/>
      </c>
      <c r="B200" s="2" t="str">
        <f>IF('H.W&amp;S.W&amp;Services'!C214=0,"",'H.W&amp;S.W&amp;Services'!C214)</f>
        <v/>
      </c>
      <c r="C200" s="2" t="str">
        <f>IF('H.W&amp;S.W&amp;Services'!C214=0,"",'H.W&amp;S.W&amp;Services'!C214)</f>
        <v/>
      </c>
      <c r="D200" s="2" t="str">
        <f>IF('H.W&amp;S.W&amp;Services'!H214=0,"",'H.W&amp;S.W&amp;Services'!H214)</f>
        <v/>
      </c>
      <c r="E200" s="2" t="str">
        <f>IF('H.W&amp;S.W&amp;Services'!I214=0,"",'H.W&amp;S.W&amp;Services'!I214)</f>
        <v/>
      </c>
      <c r="F200" s="3" t="str">
        <f>IF('H.W&amp;S.W&amp;Services'!J214=0,"",'H.W&amp;S.W&amp;Services'!J214)</f>
        <v/>
      </c>
      <c r="G200" s="4" t="str">
        <f>IF('H.W&amp;S.W&amp;Services'!O214=0,"",'H.W&amp;S.W&amp;Services'!O214)</f>
        <v/>
      </c>
      <c r="H200" s="2" t="str">
        <f>IF('H.W&amp;S.W&amp;Services'!B214=0,"",'H.W&amp;S.W&amp;Services'!B214) &amp; IF('H.W&amp;S.W&amp;Services'!F214=0,""," / "&amp;'H.W&amp;S.W&amp;Services'!F214) &amp; IF('H.W&amp;S.W&amp;Services'!G214=0,""," / "&amp;'H.W&amp;S.W&amp;Services'!G214)</f>
        <v/>
      </c>
      <c r="I200" t="str">
        <f>IF('H.W&amp;S.W&amp;Services'!D214=0,"",'H.W&amp;S.W&amp;Services'!D214)</f>
        <v/>
      </c>
      <c r="J200" s="2" t="str">
        <f>IF('H.W&amp;S.W&amp;Services'!E214=0,"",'H.W&amp;S.W&amp;Services'!E214)</f>
        <v/>
      </c>
    </row>
    <row r="201" spans="1:10" x14ac:dyDescent="0.2">
      <c r="A201" s="2" t="str">
        <f t="shared" ref="A201:A264" ca="1" si="4">IF(C201="","",RANDBETWEEN(1,10000000000)&amp;B201&amp;LEFT(D201,10))</f>
        <v/>
      </c>
      <c r="B201" s="2" t="str">
        <f>IF('H.W&amp;S.W&amp;Services'!C215=0,"",'H.W&amp;S.W&amp;Services'!C215)</f>
        <v/>
      </c>
      <c r="C201" s="2" t="str">
        <f>IF('H.W&amp;S.W&amp;Services'!C215=0,"",'H.W&amp;S.W&amp;Services'!C215)</f>
        <v/>
      </c>
      <c r="D201" s="2" t="str">
        <f>IF('H.W&amp;S.W&amp;Services'!H215=0,"",'H.W&amp;S.W&amp;Services'!H215)</f>
        <v/>
      </c>
      <c r="E201" s="2" t="str">
        <f>IF('H.W&amp;S.W&amp;Services'!I215=0,"",'H.W&amp;S.W&amp;Services'!I215)</f>
        <v/>
      </c>
      <c r="F201" s="3" t="str">
        <f>IF('H.W&amp;S.W&amp;Services'!J215=0,"",'H.W&amp;S.W&amp;Services'!J215)</f>
        <v/>
      </c>
      <c r="G201" s="4" t="str">
        <f>IF('H.W&amp;S.W&amp;Services'!O215=0,"",'H.W&amp;S.W&amp;Services'!O215)</f>
        <v/>
      </c>
      <c r="H201" s="2" t="str">
        <f>IF('H.W&amp;S.W&amp;Services'!B215=0,"",'H.W&amp;S.W&amp;Services'!B215) &amp; IF('H.W&amp;S.W&amp;Services'!F215=0,""," / "&amp;'H.W&amp;S.W&amp;Services'!F215) &amp; IF('H.W&amp;S.W&amp;Services'!G215=0,""," / "&amp;'H.W&amp;S.W&amp;Services'!G215)</f>
        <v/>
      </c>
      <c r="I201" t="str">
        <f>IF('H.W&amp;S.W&amp;Services'!D215=0,"",'H.W&amp;S.W&amp;Services'!D215)</f>
        <v/>
      </c>
      <c r="J201" s="2" t="str">
        <f>IF('H.W&amp;S.W&amp;Services'!E215=0,"",'H.W&amp;S.W&amp;Services'!E215)</f>
        <v/>
      </c>
    </row>
    <row r="202" spans="1:10" x14ac:dyDescent="0.2">
      <c r="A202" s="2" t="str">
        <f t="shared" ca="1" si="4"/>
        <v/>
      </c>
      <c r="B202" s="2" t="str">
        <f>IF('H.W&amp;S.W&amp;Services'!C216=0,"",'H.W&amp;S.W&amp;Services'!C216)</f>
        <v/>
      </c>
      <c r="C202" s="2" t="str">
        <f>IF('H.W&amp;S.W&amp;Services'!C216=0,"",'H.W&amp;S.W&amp;Services'!C216)</f>
        <v/>
      </c>
      <c r="D202" s="2" t="str">
        <f>IF('H.W&amp;S.W&amp;Services'!H216=0,"",'H.W&amp;S.W&amp;Services'!H216)</f>
        <v/>
      </c>
      <c r="E202" s="2" t="str">
        <f>IF('H.W&amp;S.W&amp;Services'!I216=0,"",'H.W&amp;S.W&amp;Services'!I216)</f>
        <v/>
      </c>
      <c r="F202" s="3" t="str">
        <f>IF('H.W&amp;S.W&amp;Services'!J216=0,"",'H.W&amp;S.W&amp;Services'!J216)</f>
        <v/>
      </c>
      <c r="G202" s="4" t="str">
        <f>IF('H.W&amp;S.W&amp;Services'!O216=0,"",'H.W&amp;S.W&amp;Services'!O216)</f>
        <v/>
      </c>
      <c r="H202" s="2" t="str">
        <f>IF('H.W&amp;S.W&amp;Services'!B216=0,"",'H.W&amp;S.W&amp;Services'!B216) &amp; IF('H.W&amp;S.W&amp;Services'!F216=0,""," / "&amp;'H.W&amp;S.W&amp;Services'!F216) &amp; IF('H.W&amp;S.W&amp;Services'!G216=0,""," / "&amp;'H.W&amp;S.W&amp;Services'!G216)</f>
        <v/>
      </c>
      <c r="I202" t="str">
        <f>IF('H.W&amp;S.W&amp;Services'!D216=0,"",'H.W&amp;S.W&amp;Services'!D216)</f>
        <v/>
      </c>
      <c r="J202" s="2" t="str">
        <f>IF('H.W&amp;S.W&amp;Services'!E216=0,"",'H.W&amp;S.W&amp;Services'!E216)</f>
        <v/>
      </c>
    </row>
    <row r="203" spans="1:10" x14ac:dyDescent="0.2">
      <c r="A203" s="2" t="str">
        <f t="shared" ca="1" si="4"/>
        <v/>
      </c>
      <c r="B203" s="2" t="str">
        <f>IF('H.W&amp;S.W&amp;Services'!C217=0,"",'H.W&amp;S.W&amp;Services'!C217)</f>
        <v/>
      </c>
      <c r="C203" s="2" t="str">
        <f>IF('H.W&amp;S.W&amp;Services'!C217=0,"",'H.W&amp;S.W&amp;Services'!C217)</f>
        <v/>
      </c>
      <c r="D203" s="2" t="str">
        <f>IF('H.W&amp;S.W&amp;Services'!H217=0,"",'H.W&amp;S.W&amp;Services'!H217)</f>
        <v/>
      </c>
      <c r="E203" s="2" t="str">
        <f>IF('H.W&amp;S.W&amp;Services'!I217=0,"",'H.W&amp;S.W&amp;Services'!I217)</f>
        <v/>
      </c>
      <c r="F203" s="3" t="str">
        <f>IF('H.W&amp;S.W&amp;Services'!J217=0,"",'H.W&amp;S.W&amp;Services'!J217)</f>
        <v/>
      </c>
      <c r="G203" s="4" t="str">
        <f>IF('H.W&amp;S.W&amp;Services'!O217=0,"",'H.W&amp;S.W&amp;Services'!O217)</f>
        <v/>
      </c>
      <c r="H203" s="2" t="str">
        <f>IF('H.W&amp;S.W&amp;Services'!B217=0,"",'H.W&amp;S.W&amp;Services'!B217) &amp; IF('H.W&amp;S.W&amp;Services'!F217=0,""," / "&amp;'H.W&amp;S.W&amp;Services'!F217) &amp; IF('H.W&amp;S.W&amp;Services'!G217=0,""," / "&amp;'H.W&amp;S.W&amp;Services'!G217)</f>
        <v/>
      </c>
      <c r="I203" t="str">
        <f>IF('H.W&amp;S.W&amp;Services'!D217=0,"",'H.W&amp;S.W&amp;Services'!D217)</f>
        <v/>
      </c>
      <c r="J203" s="2" t="str">
        <f>IF('H.W&amp;S.W&amp;Services'!E217=0,"",'H.W&amp;S.W&amp;Services'!E217)</f>
        <v/>
      </c>
    </row>
    <row r="204" spans="1:10" x14ac:dyDescent="0.2">
      <c r="A204" s="2" t="str">
        <f t="shared" ca="1" si="4"/>
        <v/>
      </c>
      <c r="B204" s="2" t="str">
        <f>IF('H.W&amp;S.W&amp;Services'!C218=0,"",'H.W&amp;S.W&amp;Services'!C218)</f>
        <v/>
      </c>
      <c r="C204" s="2" t="str">
        <f>IF('H.W&amp;S.W&amp;Services'!C218=0,"",'H.W&amp;S.W&amp;Services'!C218)</f>
        <v/>
      </c>
      <c r="D204" s="2" t="str">
        <f>IF('H.W&amp;S.W&amp;Services'!H218=0,"",'H.W&amp;S.W&amp;Services'!H218)</f>
        <v/>
      </c>
      <c r="E204" s="2" t="str">
        <f>IF('H.W&amp;S.W&amp;Services'!I218=0,"",'H.W&amp;S.W&amp;Services'!I218)</f>
        <v/>
      </c>
      <c r="F204" s="3" t="str">
        <f>IF('H.W&amp;S.W&amp;Services'!J218=0,"",'H.W&amp;S.W&amp;Services'!J218)</f>
        <v/>
      </c>
      <c r="G204" s="4" t="str">
        <f>IF('H.W&amp;S.W&amp;Services'!O218=0,"",'H.W&amp;S.W&amp;Services'!O218)</f>
        <v/>
      </c>
      <c r="H204" s="2" t="str">
        <f>IF('H.W&amp;S.W&amp;Services'!B218=0,"",'H.W&amp;S.W&amp;Services'!B218) &amp; IF('H.W&amp;S.W&amp;Services'!F218=0,""," / "&amp;'H.W&amp;S.W&amp;Services'!F218) &amp; IF('H.W&amp;S.W&amp;Services'!G218=0,""," / "&amp;'H.W&amp;S.W&amp;Services'!G218)</f>
        <v/>
      </c>
      <c r="I204" t="str">
        <f>IF('H.W&amp;S.W&amp;Services'!D218=0,"",'H.W&amp;S.W&amp;Services'!D218)</f>
        <v/>
      </c>
      <c r="J204" s="2" t="str">
        <f>IF('H.W&amp;S.W&amp;Services'!E218=0,"",'H.W&amp;S.W&amp;Services'!E218)</f>
        <v/>
      </c>
    </row>
    <row r="205" spans="1:10" x14ac:dyDescent="0.2">
      <c r="A205" s="2" t="str">
        <f t="shared" ca="1" si="4"/>
        <v/>
      </c>
      <c r="B205" s="2" t="str">
        <f>IF('H.W&amp;S.W&amp;Services'!C219=0,"",'H.W&amp;S.W&amp;Services'!C219)</f>
        <v/>
      </c>
      <c r="C205" s="2" t="str">
        <f>IF('H.W&amp;S.W&amp;Services'!C219=0,"",'H.W&amp;S.W&amp;Services'!C219)</f>
        <v/>
      </c>
      <c r="D205" s="2" t="str">
        <f>IF('H.W&amp;S.W&amp;Services'!H219=0,"",'H.W&amp;S.W&amp;Services'!H219)</f>
        <v/>
      </c>
      <c r="E205" s="2" t="str">
        <f>IF('H.W&amp;S.W&amp;Services'!I219=0,"",'H.W&amp;S.W&amp;Services'!I219)</f>
        <v/>
      </c>
      <c r="F205" s="3" t="str">
        <f>IF('H.W&amp;S.W&amp;Services'!J219=0,"",'H.W&amp;S.W&amp;Services'!J219)</f>
        <v/>
      </c>
      <c r="G205" s="4" t="str">
        <f>IF('H.W&amp;S.W&amp;Services'!O219=0,"",'H.W&amp;S.W&amp;Services'!O219)</f>
        <v/>
      </c>
      <c r="H205" s="2" t="str">
        <f>IF('H.W&amp;S.W&amp;Services'!B219=0,"",'H.W&amp;S.W&amp;Services'!B219) &amp; IF('H.W&amp;S.W&amp;Services'!F219=0,""," / "&amp;'H.W&amp;S.W&amp;Services'!F219) &amp; IF('H.W&amp;S.W&amp;Services'!G219=0,""," / "&amp;'H.W&amp;S.W&amp;Services'!G219)</f>
        <v/>
      </c>
      <c r="I205" t="str">
        <f>IF('H.W&amp;S.W&amp;Services'!D219=0,"",'H.W&amp;S.W&amp;Services'!D219)</f>
        <v/>
      </c>
      <c r="J205" s="2" t="str">
        <f>IF('H.W&amp;S.W&amp;Services'!E219=0,"",'H.W&amp;S.W&amp;Services'!E219)</f>
        <v/>
      </c>
    </row>
    <row r="206" spans="1:10" x14ac:dyDescent="0.2">
      <c r="A206" s="2" t="str">
        <f t="shared" ca="1" si="4"/>
        <v/>
      </c>
      <c r="B206" s="2" t="str">
        <f>IF('H.W&amp;S.W&amp;Services'!C220=0,"",'H.W&amp;S.W&amp;Services'!C220)</f>
        <v/>
      </c>
      <c r="C206" s="2" t="str">
        <f>IF('H.W&amp;S.W&amp;Services'!C220=0,"",'H.W&amp;S.W&amp;Services'!C220)</f>
        <v/>
      </c>
      <c r="D206" s="2" t="str">
        <f>IF('H.W&amp;S.W&amp;Services'!H220=0,"",'H.W&amp;S.W&amp;Services'!H220)</f>
        <v/>
      </c>
      <c r="E206" s="2" t="str">
        <f>IF('H.W&amp;S.W&amp;Services'!I220=0,"",'H.W&amp;S.W&amp;Services'!I220)</f>
        <v/>
      </c>
      <c r="F206" s="3" t="str">
        <f>IF('H.W&amp;S.W&amp;Services'!J220=0,"",'H.W&amp;S.W&amp;Services'!J220)</f>
        <v/>
      </c>
      <c r="G206" s="4" t="str">
        <f>IF('H.W&amp;S.W&amp;Services'!O220=0,"",'H.W&amp;S.W&amp;Services'!O220)</f>
        <v/>
      </c>
      <c r="H206" s="2" t="str">
        <f>IF('H.W&amp;S.W&amp;Services'!B220=0,"",'H.W&amp;S.W&amp;Services'!B220) &amp; IF('H.W&amp;S.W&amp;Services'!F220=0,""," / "&amp;'H.W&amp;S.W&amp;Services'!F220) &amp; IF('H.W&amp;S.W&amp;Services'!G220=0,""," / "&amp;'H.W&amp;S.W&amp;Services'!G220)</f>
        <v/>
      </c>
      <c r="I206" t="str">
        <f>IF('H.W&amp;S.W&amp;Services'!D220=0,"",'H.W&amp;S.W&amp;Services'!D220)</f>
        <v/>
      </c>
      <c r="J206" s="2" t="str">
        <f>IF('H.W&amp;S.W&amp;Services'!E220=0,"",'H.W&amp;S.W&amp;Services'!E220)</f>
        <v/>
      </c>
    </row>
    <row r="207" spans="1:10" x14ac:dyDescent="0.2">
      <c r="A207" s="2" t="str">
        <f t="shared" ca="1" si="4"/>
        <v/>
      </c>
      <c r="B207" s="2" t="str">
        <f>IF('H.W&amp;S.W&amp;Services'!C221=0,"",'H.W&amp;S.W&amp;Services'!C221)</f>
        <v/>
      </c>
      <c r="C207" s="2" t="str">
        <f>IF('H.W&amp;S.W&amp;Services'!C221=0,"",'H.W&amp;S.W&amp;Services'!C221)</f>
        <v/>
      </c>
      <c r="D207" s="2" t="str">
        <f>IF('H.W&amp;S.W&amp;Services'!H221=0,"",'H.W&amp;S.W&amp;Services'!H221)</f>
        <v/>
      </c>
      <c r="E207" s="2" t="str">
        <f>IF('H.W&amp;S.W&amp;Services'!I221=0,"",'H.W&amp;S.W&amp;Services'!I221)</f>
        <v/>
      </c>
      <c r="F207" s="3" t="str">
        <f>IF('H.W&amp;S.W&amp;Services'!J221=0,"",'H.W&amp;S.W&amp;Services'!J221)</f>
        <v/>
      </c>
      <c r="G207" s="4" t="str">
        <f>IF('H.W&amp;S.W&amp;Services'!O221=0,"",'H.W&amp;S.W&amp;Services'!O221)</f>
        <v/>
      </c>
      <c r="H207" s="2" t="str">
        <f>IF('H.W&amp;S.W&amp;Services'!B221=0,"",'H.W&amp;S.W&amp;Services'!B221) &amp; IF('H.W&amp;S.W&amp;Services'!F221=0,""," / "&amp;'H.W&amp;S.W&amp;Services'!F221) &amp; IF('H.W&amp;S.W&amp;Services'!G221=0,""," / "&amp;'H.W&amp;S.W&amp;Services'!G221)</f>
        <v/>
      </c>
      <c r="I207" t="str">
        <f>IF('H.W&amp;S.W&amp;Services'!D221=0,"",'H.W&amp;S.W&amp;Services'!D221)</f>
        <v/>
      </c>
      <c r="J207" s="2" t="str">
        <f>IF('H.W&amp;S.W&amp;Services'!E221=0,"",'H.W&amp;S.W&amp;Services'!E221)</f>
        <v/>
      </c>
    </row>
    <row r="208" spans="1:10" x14ac:dyDescent="0.2">
      <c r="A208" s="2" t="str">
        <f t="shared" ca="1" si="4"/>
        <v/>
      </c>
      <c r="B208" s="2" t="str">
        <f>IF('H.W&amp;S.W&amp;Services'!C222=0,"",'H.W&amp;S.W&amp;Services'!C222)</f>
        <v/>
      </c>
      <c r="C208" s="2" t="str">
        <f>IF('H.W&amp;S.W&amp;Services'!C222=0,"",'H.W&amp;S.W&amp;Services'!C222)</f>
        <v/>
      </c>
      <c r="D208" s="2" t="str">
        <f>IF('H.W&amp;S.W&amp;Services'!H222=0,"",'H.W&amp;S.W&amp;Services'!H222)</f>
        <v/>
      </c>
      <c r="E208" s="2" t="str">
        <f>IF('H.W&amp;S.W&amp;Services'!I222=0,"",'H.W&amp;S.W&amp;Services'!I222)</f>
        <v/>
      </c>
      <c r="F208" s="3" t="str">
        <f>IF('H.W&amp;S.W&amp;Services'!J222=0,"",'H.W&amp;S.W&amp;Services'!J222)</f>
        <v/>
      </c>
      <c r="G208" s="4" t="str">
        <f>IF('H.W&amp;S.W&amp;Services'!O222=0,"",'H.W&amp;S.W&amp;Services'!O222)</f>
        <v/>
      </c>
      <c r="H208" s="2" t="str">
        <f>IF('H.W&amp;S.W&amp;Services'!B222=0,"",'H.W&amp;S.W&amp;Services'!B222) &amp; IF('H.W&amp;S.W&amp;Services'!F222=0,""," / "&amp;'H.W&amp;S.W&amp;Services'!F222) &amp; IF('H.W&amp;S.W&amp;Services'!G222=0,""," / "&amp;'H.W&amp;S.W&amp;Services'!G222)</f>
        <v/>
      </c>
      <c r="I208" t="str">
        <f>IF('H.W&amp;S.W&amp;Services'!D222=0,"",'H.W&amp;S.W&amp;Services'!D222)</f>
        <v/>
      </c>
      <c r="J208" s="2" t="str">
        <f>IF('H.W&amp;S.W&amp;Services'!E222=0,"",'H.W&amp;S.W&amp;Services'!E222)</f>
        <v/>
      </c>
    </row>
    <row r="209" spans="1:10" x14ac:dyDescent="0.2">
      <c r="A209" s="2" t="str">
        <f t="shared" ca="1" si="4"/>
        <v/>
      </c>
      <c r="B209" s="2" t="str">
        <f>IF('H.W&amp;S.W&amp;Services'!C223=0,"",'H.W&amp;S.W&amp;Services'!C223)</f>
        <v/>
      </c>
      <c r="C209" s="2" t="str">
        <f>IF('H.W&amp;S.W&amp;Services'!C223=0,"",'H.W&amp;S.W&amp;Services'!C223)</f>
        <v/>
      </c>
      <c r="D209" s="2" t="str">
        <f>IF('H.W&amp;S.W&amp;Services'!H223=0,"",'H.W&amp;S.W&amp;Services'!H223)</f>
        <v/>
      </c>
      <c r="E209" s="2" t="str">
        <f>IF('H.W&amp;S.W&amp;Services'!I223=0,"",'H.W&amp;S.W&amp;Services'!I223)</f>
        <v/>
      </c>
      <c r="F209" s="3" t="str">
        <f>IF('H.W&amp;S.W&amp;Services'!J223=0,"",'H.W&amp;S.W&amp;Services'!J223)</f>
        <v/>
      </c>
      <c r="G209" s="4" t="str">
        <f>IF('H.W&amp;S.W&amp;Services'!O223=0,"",'H.W&amp;S.W&amp;Services'!O223)</f>
        <v/>
      </c>
      <c r="H209" s="2" t="str">
        <f>IF('H.W&amp;S.W&amp;Services'!B223=0,"",'H.W&amp;S.W&amp;Services'!B223) &amp; IF('H.W&amp;S.W&amp;Services'!F223=0,""," / "&amp;'H.W&amp;S.W&amp;Services'!F223) &amp; IF('H.W&amp;S.W&amp;Services'!G223=0,""," / "&amp;'H.W&amp;S.W&amp;Services'!G223)</f>
        <v/>
      </c>
      <c r="I209" t="str">
        <f>IF('H.W&amp;S.W&amp;Services'!D223=0,"",'H.W&amp;S.W&amp;Services'!D223)</f>
        <v/>
      </c>
      <c r="J209" s="2" t="str">
        <f>IF('H.W&amp;S.W&amp;Services'!E223=0,"",'H.W&amp;S.W&amp;Services'!E223)</f>
        <v/>
      </c>
    </row>
    <row r="210" spans="1:10" x14ac:dyDescent="0.2">
      <c r="A210" s="2" t="str">
        <f t="shared" ca="1" si="4"/>
        <v/>
      </c>
      <c r="B210" s="2" t="str">
        <f>IF('H.W&amp;S.W&amp;Services'!C224=0,"",'H.W&amp;S.W&amp;Services'!C224)</f>
        <v/>
      </c>
      <c r="C210" s="2" t="str">
        <f>IF('H.W&amp;S.W&amp;Services'!C224=0,"",'H.W&amp;S.W&amp;Services'!C224)</f>
        <v/>
      </c>
      <c r="D210" s="2" t="str">
        <f>IF('H.W&amp;S.W&amp;Services'!H224=0,"",'H.W&amp;S.W&amp;Services'!H224)</f>
        <v/>
      </c>
      <c r="E210" s="2" t="str">
        <f>IF('H.W&amp;S.W&amp;Services'!I224=0,"",'H.W&amp;S.W&amp;Services'!I224)</f>
        <v/>
      </c>
      <c r="F210" s="3" t="str">
        <f>IF('H.W&amp;S.W&amp;Services'!J224=0,"",'H.W&amp;S.W&amp;Services'!J224)</f>
        <v/>
      </c>
      <c r="G210" s="4" t="str">
        <f>IF('H.W&amp;S.W&amp;Services'!O224=0,"",'H.W&amp;S.W&amp;Services'!O224)</f>
        <v/>
      </c>
      <c r="H210" s="2" t="str">
        <f>IF('H.W&amp;S.W&amp;Services'!B224=0,"",'H.W&amp;S.W&amp;Services'!B224) &amp; IF('H.W&amp;S.W&amp;Services'!F224=0,""," / "&amp;'H.W&amp;S.W&amp;Services'!F224) &amp; IF('H.W&amp;S.W&amp;Services'!G224=0,""," / "&amp;'H.W&amp;S.W&amp;Services'!G224)</f>
        <v/>
      </c>
      <c r="I210" t="str">
        <f>IF('H.W&amp;S.W&amp;Services'!D224=0,"",'H.W&amp;S.W&amp;Services'!D224)</f>
        <v/>
      </c>
      <c r="J210" s="2" t="str">
        <f>IF('H.W&amp;S.W&amp;Services'!E224=0,"",'H.W&amp;S.W&amp;Services'!E224)</f>
        <v/>
      </c>
    </row>
    <row r="211" spans="1:10" x14ac:dyDescent="0.2">
      <c r="A211" s="2" t="str">
        <f t="shared" ca="1" si="4"/>
        <v/>
      </c>
      <c r="B211" s="2" t="str">
        <f>IF('H.W&amp;S.W&amp;Services'!C225=0,"",'H.W&amp;S.W&amp;Services'!C225)</f>
        <v/>
      </c>
      <c r="C211" s="2" t="str">
        <f>IF('H.W&amp;S.W&amp;Services'!C225=0,"",'H.W&amp;S.W&amp;Services'!C225)</f>
        <v/>
      </c>
      <c r="D211" s="2" t="str">
        <f>IF('H.W&amp;S.W&amp;Services'!H225=0,"",'H.W&amp;S.W&amp;Services'!H225)</f>
        <v/>
      </c>
      <c r="E211" s="2" t="str">
        <f>IF('H.W&amp;S.W&amp;Services'!I225=0,"",'H.W&amp;S.W&amp;Services'!I225)</f>
        <v/>
      </c>
      <c r="F211" s="3" t="str">
        <f>IF('H.W&amp;S.W&amp;Services'!J225=0,"",'H.W&amp;S.W&amp;Services'!J225)</f>
        <v/>
      </c>
      <c r="G211" s="4" t="str">
        <f>IF('H.W&amp;S.W&amp;Services'!O225=0,"",'H.W&amp;S.W&amp;Services'!O225)</f>
        <v/>
      </c>
      <c r="H211" s="2" t="str">
        <f>IF('H.W&amp;S.W&amp;Services'!B225=0,"",'H.W&amp;S.W&amp;Services'!B225) &amp; IF('H.W&amp;S.W&amp;Services'!F225=0,""," / "&amp;'H.W&amp;S.W&amp;Services'!F225) &amp; IF('H.W&amp;S.W&amp;Services'!G225=0,""," / "&amp;'H.W&amp;S.W&amp;Services'!G225)</f>
        <v/>
      </c>
      <c r="I211" t="str">
        <f>IF('H.W&amp;S.W&amp;Services'!D225=0,"",'H.W&amp;S.W&amp;Services'!D225)</f>
        <v/>
      </c>
      <c r="J211" s="2" t="str">
        <f>IF('H.W&amp;S.W&amp;Services'!E225=0,"",'H.W&amp;S.W&amp;Services'!E225)</f>
        <v/>
      </c>
    </row>
    <row r="212" spans="1:10" x14ac:dyDescent="0.2">
      <c r="A212" s="2" t="str">
        <f t="shared" ca="1" si="4"/>
        <v/>
      </c>
      <c r="B212" s="2" t="str">
        <f>IF('H.W&amp;S.W&amp;Services'!C226=0,"",'H.W&amp;S.W&amp;Services'!C226)</f>
        <v/>
      </c>
      <c r="C212" s="2" t="str">
        <f>IF('H.W&amp;S.W&amp;Services'!C226=0,"",'H.W&amp;S.W&amp;Services'!C226)</f>
        <v/>
      </c>
      <c r="D212" s="2" t="str">
        <f>IF('H.W&amp;S.W&amp;Services'!H226=0,"",'H.W&amp;S.W&amp;Services'!H226)</f>
        <v/>
      </c>
      <c r="E212" s="2" t="str">
        <f>IF('H.W&amp;S.W&amp;Services'!I226=0,"",'H.W&amp;S.W&amp;Services'!I226)</f>
        <v/>
      </c>
      <c r="F212" s="3" t="str">
        <f>IF('H.W&amp;S.W&amp;Services'!J226=0,"",'H.W&amp;S.W&amp;Services'!J226)</f>
        <v/>
      </c>
      <c r="G212" s="4" t="str">
        <f>IF('H.W&amp;S.W&amp;Services'!O226=0,"",'H.W&amp;S.W&amp;Services'!O226)</f>
        <v/>
      </c>
      <c r="H212" s="2" t="str">
        <f>IF('H.W&amp;S.W&amp;Services'!B226=0,"",'H.W&amp;S.W&amp;Services'!B226) &amp; IF('H.W&amp;S.W&amp;Services'!F226=0,""," / "&amp;'H.W&amp;S.W&amp;Services'!F226) &amp; IF('H.W&amp;S.W&amp;Services'!G226=0,""," / "&amp;'H.W&amp;S.W&amp;Services'!G226)</f>
        <v/>
      </c>
      <c r="I212" t="str">
        <f>IF('H.W&amp;S.W&amp;Services'!D226=0,"",'H.W&amp;S.W&amp;Services'!D226)</f>
        <v/>
      </c>
      <c r="J212" s="2" t="str">
        <f>IF('H.W&amp;S.W&amp;Services'!E226=0,"",'H.W&amp;S.W&amp;Services'!E226)</f>
        <v/>
      </c>
    </row>
    <row r="213" spans="1:10" x14ac:dyDescent="0.2">
      <c r="A213" s="2" t="str">
        <f t="shared" ca="1" si="4"/>
        <v/>
      </c>
      <c r="B213" s="2" t="str">
        <f>IF('H.W&amp;S.W&amp;Services'!C227=0,"",'H.W&amp;S.W&amp;Services'!C227)</f>
        <v/>
      </c>
      <c r="C213" s="2" t="str">
        <f>IF('H.W&amp;S.W&amp;Services'!C227=0,"",'H.W&amp;S.W&amp;Services'!C227)</f>
        <v/>
      </c>
      <c r="D213" s="2" t="str">
        <f>IF('H.W&amp;S.W&amp;Services'!H227=0,"",'H.W&amp;S.W&amp;Services'!H227)</f>
        <v/>
      </c>
      <c r="E213" s="2" t="str">
        <f>IF('H.W&amp;S.W&amp;Services'!I227=0,"",'H.W&amp;S.W&amp;Services'!I227)</f>
        <v/>
      </c>
      <c r="F213" s="3" t="str">
        <f>IF('H.W&amp;S.W&amp;Services'!J227=0,"",'H.W&amp;S.W&amp;Services'!J227)</f>
        <v/>
      </c>
      <c r="G213" s="4" t="str">
        <f>IF('H.W&amp;S.W&amp;Services'!O227=0,"",'H.W&amp;S.W&amp;Services'!O227)</f>
        <v/>
      </c>
      <c r="H213" s="2" t="str">
        <f>IF('H.W&amp;S.W&amp;Services'!B227=0,"",'H.W&amp;S.W&amp;Services'!B227) &amp; IF('H.W&amp;S.W&amp;Services'!F227=0,""," / "&amp;'H.W&amp;S.W&amp;Services'!F227) &amp; IF('H.W&amp;S.W&amp;Services'!G227=0,""," / "&amp;'H.W&amp;S.W&amp;Services'!G227)</f>
        <v/>
      </c>
      <c r="I213" t="str">
        <f>IF('H.W&amp;S.W&amp;Services'!D227=0,"",'H.W&amp;S.W&amp;Services'!D227)</f>
        <v/>
      </c>
      <c r="J213" s="2" t="str">
        <f>IF('H.W&amp;S.W&amp;Services'!E227=0,"",'H.W&amp;S.W&amp;Services'!E227)</f>
        <v/>
      </c>
    </row>
    <row r="214" spans="1:10" x14ac:dyDescent="0.2">
      <c r="A214" s="2" t="str">
        <f t="shared" ca="1" si="4"/>
        <v/>
      </c>
      <c r="B214" s="2" t="str">
        <f>IF('H.W&amp;S.W&amp;Services'!C228=0,"",'H.W&amp;S.W&amp;Services'!C228)</f>
        <v/>
      </c>
      <c r="C214" s="2" t="str">
        <f>IF('H.W&amp;S.W&amp;Services'!C228=0,"",'H.W&amp;S.W&amp;Services'!C228)</f>
        <v/>
      </c>
      <c r="D214" s="2" t="str">
        <f>IF('H.W&amp;S.W&amp;Services'!H228=0,"",'H.W&amp;S.W&amp;Services'!H228)</f>
        <v/>
      </c>
      <c r="E214" s="2" t="str">
        <f>IF('H.W&amp;S.W&amp;Services'!I228=0,"",'H.W&amp;S.W&amp;Services'!I228)</f>
        <v/>
      </c>
      <c r="F214" s="3" t="str">
        <f>IF('H.W&amp;S.W&amp;Services'!J228=0,"",'H.W&amp;S.W&amp;Services'!J228)</f>
        <v/>
      </c>
      <c r="G214" s="4" t="str">
        <f>IF('H.W&amp;S.W&amp;Services'!O228=0,"",'H.W&amp;S.W&amp;Services'!O228)</f>
        <v/>
      </c>
      <c r="H214" s="2" t="str">
        <f>IF('H.W&amp;S.W&amp;Services'!B228=0,"",'H.W&amp;S.W&amp;Services'!B228) &amp; IF('H.W&amp;S.W&amp;Services'!F228=0,""," / "&amp;'H.W&amp;S.W&amp;Services'!F228) &amp; IF('H.W&amp;S.W&amp;Services'!G228=0,""," / "&amp;'H.W&amp;S.W&amp;Services'!G228)</f>
        <v/>
      </c>
      <c r="I214" t="str">
        <f>IF('H.W&amp;S.W&amp;Services'!D228=0,"",'H.W&amp;S.W&amp;Services'!D228)</f>
        <v/>
      </c>
      <c r="J214" s="2" t="str">
        <f>IF('H.W&amp;S.W&amp;Services'!E228=0,"",'H.W&amp;S.W&amp;Services'!E228)</f>
        <v/>
      </c>
    </row>
    <row r="215" spans="1:10" x14ac:dyDescent="0.2">
      <c r="A215" s="2" t="str">
        <f t="shared" ca="1" si="4"/>
        <v/>
      </c>
      <c r="B215" s="2" t="str">
        <f>IF('H.W&amp;S.W&amp;Services'!C229=0,"",'H.W&amp;S.W&amp;Services'!C229)</f>
        <v/>
      </c>
      <c r="C215" s="2" t="str">
        <f>IF('H.W&amp;S.W&amp;Services'!C229=0,"",'H.W&amp;S.W&amp;Services'!C229)</f>
        <v/>
      </c>
      <c r="D215" s="2" t="str">
        <f>IF('H.W&amp;S.W&amp;Services'!H229=0,"",'H.W&amp;S.W&amp;Services'!H229)</f>
        <v/>
      </c>
      <c r="E215" s="2" t="str">
        <f>IF('H.W&amp;S.W&amp;Services'!I229=0,"",'H.W&amp;S.W&amp;Services'!I229)</f>
        <v/>
      </c>
      <c r="F215" s="3" t="str">
        <f>IF('H.W&amp;S.W&amp;Services'!J229=0,"",'H.W&amp;S.W&amp;Services'!J229)</f>
        <v/>
      </c>
      <c r="G215" s="4" t="str">
        <f>IF('H.W&amp;S.W&amp;Services'!O229=0,"",'H.W&amp;S.W&amp;Services'!O229)</f>
        <v/>
      </c>
      <c r="H215" s="2" t="str">
        <f>IF('H.W&amp;S.W&amp;Services'!B229=0,"",'H.W&amp;S.W&amp;Services'!B229) &amp; IF('H.W&amp;S.W&amp;Services'!F229=0,""," / "&amp;'H.W&amp;S.W&amp;Services'!F229) &amp; IF('H.W&amp;S.W&amp;Services'!G229=0,""," / "&amp;'H.W&amp;S.W&amp;Services'!G229)</f>
        <v/>
      </c>
      <c r="I215" t="str">
        <f>IF('H.W&amp;S.W&amp;Services'!D229=0,"",'H.W&amp;S.W&amp;Services'!D229)</f>
        <v/>
      </c>
      <c r="J215" s="2" t="str">
        <f>IF('H.W&amp;S.W&amp;Services'!E229=0,"",'H.W&amp;S.W&amp;Services'!E229)</f>
        <v/>
      </c>
    </row>
    <row r="216" spans="1:10" x14ac:dyDescent="0.2">
      <c r="A216" s="2" t="str">
        <f t="shared" ca="1" si="4"/>
        <v/>
      </c>
      <c r="B216" s="2" t="str">
        <f>IF('H.W&amp;S.W&amp;Services'!C230=0,"",'H.W&amp;S.W&amp;Services'!C230)</f>
        <v/>
      </c>
      <c r="C216" s="2" t="str">
        <f>IF('H.W&amp;S.W&amp;Services'!C230=0,"",'H.W&amp;S.W&amp;Services'!C230)</f>
        <v/>
      </c>
      <c r="D216" s="2" t="str">
        <f>IF('H.W&amp;S.W&amp;Services'!H230=0,"",'H.W&amp;S.W&amp;Services'!H230)</f>
        <v/>
      </c>
      <c r="E216" s="2" t="str">
        <f>IF('H.W&amp;S.W&amp;Services'!I230=0,"",'H.W&amp;S.W&amp;Services'!I230)</f>
        <v/>
      </c>
      <c r="F216" s="3" t="str">
        <f>IF('H.W&amp;S.W&amp;Services'!J230=0,"",'H.W&amp;S.W&amp;Services'!J230)</f>
        <v/>
      </c>
      <c r="G216" s="4" t="str">
        <f>IF('H.W&amp;S.W&amp;Services'!O230=0,"",'H.W&amp;S.W&amp;Services'!O230)</f>
        <v/>
      </c>
      <c r="H216" s="2" t="str">
        <f>IF('H.W&amp;S.W&amp;Services'!B230=0,"",'H.W&amp;S.W&amp;Services'!B230) &amp; IF('H.W&amp;S.W&amp;Services'!F230=0,""," / "&amp;'H.W&amp;S.W&amp;Services'!F230) &amp; IF('H.W&amp;S.W&amp;Services'!G230=0,""," / "&amp;'H.W&amp;S.W&amp;Services'!G230)</f>
        <v/>
      </c>
      <c r="I216" t="str">
        <f>IF('H.W&amp;S.W&amp;Services'!D230=0,"",'H.W&amp;S.W&amp;Services'!D230)</f>
        <v/>
      </c>
      <c r="J216" s="2" t="str">
        <f>IF('H.W&amp;S.W&amp;Services'!E230=0,"",'H.W&amp;S.W&amp;Services'!E230)</f>
        <v/>
      </c>
    </row>
    <row r="217" spans="1:10" x14ac:dyDescent="0.2">
      <c r="A217" s="2" t="str">
        <f t="shared" ca="1" si="4"/>
        <v/>
      </c>
      <c r="B217" s="2" t="str">
        <f>IF('H.W&amp;S.W&amp;Services'!C231=0,"",'H.W&amp;S.W&amp;Services'!C231)</f>
        <v/>
      </c>
      <c r="C217" s="2" t="str">
        <f>IF('H.W&amp;S.W&amp;Services'!C231=0,"",'H.W&amp;S.W&amp;Services'!C231)</f>
        <v/>
      </c>
      <c r="D217" s="2" t="str">
        <f>IF('H.W&amp;S.W&amp;Services'!H231=0,"",'H.W&amp;S.W&amp;Services'!H231)</f>
        <v/>
      </c>
      <c r="E217" s="2" t="str">
        <f>IF('H.W&amp;S.W&amp;Services'!I231=0,"",'H.W&amp;S.W&amp;Services'!I231)</f>
        <v/>
      </c>
      <c r="F217" s="3" t="str">
        <f>IF('H.W&amp;S.W&amp;Services'!J231=0,"",'H.W&amp;S.W&amp;Services'!J231)</f>
        <v/>
      </c>
      <c r="G217" s="4" t="str">
        <f>IF('H.W&amp;S.W&amp;Services'!O231=0,"",'H.W&amp;S.W&amp;Services'!O231)</f>
        <v/>
      </c>
      <c r="H217" s="2" t="str">
        <f>IF('H.W&amp;S.W&amp;Services'!B231=0,"",'H.W&amp;S.W&amp;Services'!B231) &amp; IF('H.W&amp;S.W&amp;Services'!F231=0,""," / "&amp;'H.W&amp;S.W&amp;Services'!F231) &amp; IF('H.W&amp;S.W&amp;Services'!G231=0,""," / "&amp;'H.W&amp;S.W&amp;Services'!G231)</f>
        <v/>
      </c>
      <c r="I217" t="str">
        <f>IF('H.W&amp;S.W&amp;Services'!D231=0,"",'H.W&amp;S.W&amp;Services'!D231)</f>
        <v/>
      </c>
      <c r="J217" s="2" t="str">
        <f>IF('H.W&amp;S.W&amp;Services'!E231=0,"",'H.W&amp;S.W&amp;Services'!E231)</f>
        <v/>
      </c>
    </row>
    <row r="218" spans="1:10" x14ac:dyDescent="0.2">
      <c r="A218" s="2" t="str">
        <f t="shared" ca="1" si="4"/>
        <v/>
      </c>
      <c r="B218" s="2" t="str">
        <f>IF('H.W&amp;S.W&amp;Services'!C232=0,"",'H.W&amp;S.W&amp;Services'!C232)</f>
        <v/>
      </c>
      <c r="C218" s="2" t="str">
        <f>IF('H.W&amp;S.W&amp;Services'!C232=0,"",'H.W&amp;S.W&amp;Services'!C232)</f>
        <v/>
      </c>
      <c r="D218" s="2" t="str">
        <f>IF('H.W&amp;S.W&amp;Services'!H232=0,"",'H.W&amp;S.W&amp;Services'!H232)</f>
        <v/>
      </c>
      <c r="E218" s="2" t="str">
        <f>IF('H.W&amp;S.W&amp;Services'!I232=0,"",'H.W&amp;S.W&amp;Services'!I232)</f>
        <v/>
      </c>
      <c r="F218" s="3" t="str">
        <f>IF('H.W&amp;S.W&amp;Services'!J232=0,"",'H.W&amp;S.W&amp;Services'!J232)</f>
        <v/>
      </c>
      <c r="G218" s="4" t="str">
        <f>IF('H.W&amp;S.W&amp;Services'!O232=0,"",'H.W&amp;S.W&amp;Services'!O232)</f>
        <v/>
      </c>
      <c r="H218" s="2" t="str">
        <f>IF('H.W&amp;S.W&amp;Services'!B232=0,"",'H.W&amp;S.W&amp;Services'!B232) &amp; IF('H.W&amp;S.W&amp;Services'!F232=0,""," / "&amp;'H.W&amp;S.W&amp;Services'!F232) &amp; IF('H.W&amp;S.W&amp;Services'!G232=0,""," / "&amp;'H.W&amp;S.W&amp;Services'!G232)</f>
        <v/>
      </c>
      <c r="I218" t="str">
        <f>IF('H.W&amp;S.W&amp;Services'!D232=0,"",'H.W&amp;S.W&amp;Services'!D232)</f>
        <v/>
      </c>
      <c r="J218" s="2" t="str">
        <f>IF('H.W&amp;S.W&amp;Services'!E232=0,"",'H.W&amp;S.W&amp;Services'!E232)</f>
        <v/>
      </c>
    </row>
    <row r="219" spans="1:10" x14ac:dyDescent="0.2">
      <c r="A219" s="2" t="str">
        <f t="shared" ca="1" si="4"/>
        <v/>
      </c>
      <c r="B219" s="2" t="str">
        <f>IF('H.W&amp;S.W&amp;Services'!C233=0,"",'H.W&amp;S.W&amp;Services'!C233)</f>
        <v/>
      </c>
      <c r="C219" s="2" t="str">
        <f>IF('H.W&amp;S.W&amp;Services'!C233=0,"",'H.W&amp;S.W&amp;Services'!C233)</f>
        <v/>
      </c>
      <c r="D219" s="2" t="str">
        <f>IF('H.W&amp;S.W&amp;Services'!H233=0,"",'H.W&amp;S.W&amp;Services'!H233)</f>
        <v/>
      </c>
      <c r="E219" s="2" t="str">
        <f>IF('H.W&amp;S.W&amp;Services'!I233=0,"",'H.W&amp;S.W&amp;Services'!I233)</f>
        <v/>
      </c>
      <c r="F219" s="3" t="str">
        <f>IF('H.W&amp;S.W&amp;Services'!J233=0,"",'H.W&amp;S.W&amp;Services'!J233)</f>
        <v/>
      </c>
      <c r="G219" s="4" t="str">
        <f>IF('H.W&amp;S.W&amp;Services'!O233=0,"",'H.W&amp;S.W&amp;Services'!O233)</f>
        <v/>
      </c>
      <c r="H219" s="2" t="str">
        <f>IF('H.W&amp;S.W&amp;Services'!B233=0,"",'H.W&amp;S.W&amp;Services'!B233) &amp; IF('H.W&amp;S.W&amp;Services'!F233=0,""," / "&amp;'H.W&amp;S.W&amp;Services'!F233) &amp; IF('H.W&amp;S.W&amp;Services'!G233=0,""," / "&amp;'H.W&amp;S.W&amp;Services'!G233)</f>
        <v/>
      </c>
      <c r="I219" t="str">
        <f>IF('H.W&amp;S.W&amp;Services'!D233=0,"",'H.W&amp;S.W&amp;Services'!D233)</f>
        <v/>
      </c>
      <c r="J219" s="2" t="str">
        <f>IF('H.W&amp;S.W&amp;Services'!E233=0,"",'H.W&amp;S.W&amp;Services'!E233)</f>
        <v/>
      </c>
    </row>
    <row r="220" spans="1:10" x14ac:dyDescent="0.2">
      <c r="A220" s="2" t="str">
        <f t="shared" ca="1" si="4"/>
        <v/>
      </c>
      <c r="B220" s="2" t="str">
        <f>IF('H.W&amp;S.W&amp;Services'!C234=0,"",'H.W&amp;S.W&amp;Services'!C234)</f>
        <v/>
      </c>
      <c r="C220" s="2" t="str">
        <f>IF('H.W&amp;S.W&amp;Services'!C234=0,"",'H.W&amp;S.W&amp;Services'!C234)</f>
        <v/>
      </c>
      <c r="D220" s="2" t="str">
        <f>IF('H.W&amp;S.W&amp;Services'!H234=0,"",'H.W&amp;S.W&amp;Services'!H234)</f>
        <v/>
      </c>
      <c r="E220" s="2" t="str">
        <f>IF('H.W&amp;S.W&amp;Services'!I234=0,"",'H.W&amp;S.W&amp;Services'!I234)</f>
        <v/>
      </c>
      <c r="F220" s="3" t="str">
        <f>IF('H.W&amp;S.W&amp;Services'!J234=0,"",'H.W&amp;S.W&amp;Services'!J234)</f>
        <v/>
      </c>
      <c r="G220" s="4" t="str">
        <f>IF('H.W&amp;S.W&amp;Services'!O234=0,"",'H.W&amp;S.W&amp;Services'!O234)</f>
        <v/>
      </c>
      <c r="H220" s="2" t="str">
        <f>IF('H.W&amp;S.W&amp;Services'!B234=0,"",'H.W&amp;S.W&amp;Services'!B234) &amp; IF('H.W&amp;S.W&amp;Services'!F234=0,""," / "&amp;'H.W&amp;S.W&amp;Services'!F234) &amp; IF('H.W&amp;S.W&amp;Services'!G234=0,""," / "&amp;'H.W&amp;S.W&amp;Services'!G234)</f>
        <v/>
      </c>
      <c r="I220" t="str">
        <f>IF('H.W&amp;S.W&amp;Services'!D234=0,"",'H.W&amp;S.W&amp;Services'!D234)</f>
        <v/>
      </c>
      <c r="J220" s="2" t="str">
        <f>IF('H.W&amp;S.W&amp;Services'!E234=0,"",'H.W&amp;S.W&amp;Services'!E234)</f>
        <v/>
      </c>
    </row>
    <row r="221" spans="1:10" x14ac:dyDescent="0.2">
      <c r="A221" s="2" t="str">
        <f t="shared" ca="1" si="4"/>
        <v/>
      </c>
      <c r="B221" s="2" t="str">
        <f>IF('H.W&amp;S.W&amp;Services'!C235=0,"",'H.W&amp;S.W&amp;Services'!C235)</f>
        <v/>
      </c>
      <c r="C221" s="2" t="str">
        <f>IF('H.W&amp;S.W&amp;Services'!C235=0,"",'H.W&amp;S.W&amp;Services'!C235)</f>
        <v/>
      </c>
      <c r="D221" s="2" t="str">
        <f>IF('H.W&amp;S.W&amp;Services'!H235=0,"",'H.W&amp;S.W&amp;Services'!H235)</f>
        <v/>
      </c>
      <c r="E221" s="2" t="str">
        <f>IF('H.W&amp;S.W&amp;Services'!I235=0,"",'H.W&amp;S.W&amp;Services'!I235)</f>
        <v/>
      </c>
      <c r="F221" s="3" t="str">
        <f>IF('H.W&amp;S.W&amp;Services'!J235=0,"",'H.W&amp;S.W&amp;Services'!J235)</f>
        <v/>
      </c>
      <c r="G221" s="4" t="str">
        <f>IF('H.W&amp;S.W&amp;Services'!O235=0,"",'H.W&amp;S.W&amp;Services'!O235)</f>
        <v/>
      </c>
      <c r="H221" s="2" t="str">
        <f>IF('H.W&amp;S.W&amp;Services'!B235=0,"",'H.W&amp;S.W&amp;Services'!B235) &amp; IF('H.W&amp;S.W&amp;Services'!F235=0,""," / "&amp;'H.W&amp;S.W&amp;Services'!F235) &amp; IF('H.W&amp;S.W&amp;Services'!G235=0,""," / "&amp;'H.W&amp;S.W&amp;Services'!G235)</f>
        <v/>
      </c>
      <c r="I221" t="str">
        <f>IF('H.W&amp;S.W&amp;Services'!D235=0,"",'H.W&amp;S.W&amp;Services'!D235)</f>
        <v/>
      </c>
      <c r="J221" s="2" t="str">
        <f>IF('H.W&amp;S.W&amp;Services'!E235=0,"",'H.W&amp;S.W&amp;Services'!E235)</f>
        <v/>
      </c>
    </row>
    <row r="222" spans="1:10" x14ac:dyDescent="0.2">
      <c r="A222" s="2" t="str">
        <f t="shared" ca="1" si="4"/>
        <v/>
      </c>
      <c r="B222" s="2" t="str">
        <f>IF('H.W&amp;S.W&amp;Services'!C236=0,"",'H.W&amp;S.W&amp;Services'!C236)</f>
        <v/>
      </c>
      <c r="C222" s="2" t="str">
        <f>IF('H.W&amp;S.W&amp;Services'!C236=0,"",'H.W&amp;S.W&amp;Services'!C236)</f>
        <v/>
      </c>
      <c r="D222" s="2" t="str">
        <f>IF('H.W&amp;S.W&amp;Services'!H236=0,"",'H.W&amp;S.W&amp;Services'!H236)</f>
        <v/>
      </c>
      <c r="E222" s="2" t="str">
        <f>IF('H.W&amp;S.W&amp;Services'!I236=0,"",'H.W&amp;S.W&amp;Services'!I236)</f>
        <v/>
      </c>
      <c r="F222" s="3" t="str">
        <f>IF('H.W&amp;S.W&amp;Services'!J236=0,"",'H.W&amp;S.W&amp;Services'!J236)</f>
        <v/>
      </c>
      <c r="G222" s="4" t="str">
        <f>IF('H.W&amp;S.W&amp;Services'!O236=0,"",'H.W&amp;S.W&amp;Services'!O236)</f>
        <v/>
      </c>
      <c r="H222" s="2" t="str">
        <f>IF('H.W&amp;S.W&amp;Services'!B236=0,"",'H.W&amp;S.W&amp;Services'!B236) &amp; IF('H.W&amp;S.W&amp;Services'!F236=0,""," / "&amp;'H.W&amp;S.W&amp;Services'!F236) &amp; IF('H.W&amp;S.W&amp;Services'!G236=0,""," / "&amp;'H.W&amp;S.W&amp;Services'!G236)</f>
        <v/>
      </c>
      <c r="I222" t="str">
        <f>IF('H.W&amp;S.W&amp;Services'!D236=0,"",'H.W&amp;S.W&amp;Services'!D236)</f>
        <v/>
      </c>
      <c r="J222" s="2" t="str">
        <f>IF('H.W&amp;S.W&amp;Services'!E236=0,"",'H.W&amp;S.W&amp;Services'!E236)</f>
        <v/>
      </c>
    </row>
    <row r="223" spans="1:10" x14ac:dyDescent="0.2">
      <c r="A223" s="2" t="str">
        <f t="shared" ca="1" si="4"/>
        <v/>
      </c>
      <c r="B223" s="2" t="str">
        <f>IF('H.W&amp;S.W&amp;Services'!C237=0,"",'H.W&amp;S.W&amp;Services'!C237)</f>
        <v/>
      </c>
      <c r="C223" s="2" t="str">
        <f>IF('H.W&amp;S.W&amp;Services'!C237=0,"",'H.W&amp;S.W&amp;Services'!C237)</f>
        <v/>
      </c>
      <c r="D223" s="2" t="str">
        <f>IF('H.W&amp;S.W&amp;Services'!H237=0,"",'H.W&amp;S.W&amp;Services'!H237)</f>
        <v/>
      </c>
      <c r="E223" s="2" t="str">
        <f>IF('H.W&amp;S.W&amp;Services'!I237=0,"",'H.W&amp;S.W&amp;Services'!I237)</f>
        <v/>
      </c>
      <c r="F223" s="3" t="str">
        <f>IF('H.W&amp;S.W&amp;Services'!J237=0,"",'H.W&amp;S.W&amp;Services'!J237)</f>
        <v/>
      </c>
      <c r="G223" s="4" t="str">
        <f>IF('H.W&amp;S.W&amp;Services'!O237=0,"",'H.W&amp;S.W&amp;Services'!O237)</f>
        <v/>
      </c>
      <c r="H223" s="2" t="str">
        <f>IF('H.W&amp;S.W&amp;Services'!B237=0,"",'H.W&amp;S.W&amp;Services'!B237) &amp; IF('H.W&amp;S.W&amp;Services'!F237=0,""," / "&amp;'H.W&amp;S.W&amp;Services'!F237) &amp; IF('H.W&amp;S.W&amp;Services'!G237=0,""," / "&amp;'H.W&amp;S.W&amp;Services'!G237)</f>
        <v/>
      </c>
      <c r="I223" t="str">
        <f>IF('H.W&amp;S.W&amp;Services'!D237=0,"",'H.W&amp;S.W&amp;Services'!D237)</f>
        <v/>
      </c>
      <c r="J223" s="2" t="str">
        <f>IF('H.W&amp;S.W&amp;Services'!E237=0,"",'H.W&amp;S.W&amp;Services'!E237)</f>
        <v/>
      </c>
    </row>
    <row r="224" spans="1:10" x14ac:dyDescent="0.2">
      <c r="A224" s="2" t="str">
        <f t="shared" ca="1" si="4"/>
        <v/>
      </c>
      <c r="B224" s="2" t="str">
        <f>IF('H.W&amp;S.W&amp;Services'!C238=0,"",'H.W&amp;S.W&amp;Services'!C238)</f>
        <v/>
      </c>
      <c r="C224" s="2" t="str">
        <f>IF('H.W&amp;S.W&amp;Services'!C238=0,"",'H.W&amp;S.W&amp;Services'!C238)</f>
        <v/>
      </c>
      <c r="D224" s="2" t="str">
        <f>IF('H.W&amp;S.W&amp;Services'!H238=0,"",'H.W&amp;S.W&amp;Services'!H238)</f>
        <v/>
      </c>
      <c r="E224" s="2" t="str">
        <f>IF('H.W&amp;S.W&amp;Services'!I238=0,"",'H.W&amp;S.W&amp;Services'!I238)</f>
        <v/>
      </c>
      <c r="F224" s="3" t="str">
        <f>IF('H.W&amp;S.W&amp;Services'!J238=0,"",'H.W&amp;S.W&amp;Services'!J238)</f>
        <v/>
      </c>
      <c r="G224" s="4" t="str">
        <f>IF('H.W&amp;S.W&amp;Services'!O238=0,"",'H.W&amp;S.W&amp;Services'!O238)</f>
        <v/>
      </c>
      <c r="H224" s="2" t="str">
        <f>IF('H.W&amp;S.W&amp;Services'!B238=0,"",'H.W&amp;S.W&amp;Services'!B238) &amp; IF('H.W&amp;S.W&amp;Services'!F238=0,""," / "&amp;'H.W&amp;S.W&amp;Services'!F238) &amp; IF('H.W&amp;S.W&amp;Services'!G238=0,""," / "&amp;'H.W&amp;S.W&amp;Services'!G238)</f>
        <v/>
      </c>
      <c r="I224" t="str">
        <f>IF('H.W&amp;S.W&amp;Services'!D238=0,"",'H.W&amp;S.W&amp;Services'!D238)</f>
        <v/>
      </c>
      <c r="J224" s="2" t="str">
        <f>IF('H.W&amp;S.W&amp;Services'!E238=0,"",'H.W&amp;S.W&amp;Services'!E238)</f>
        <v/>
      </c>
    </row>
    <row r="225" spans="1:10" x14ac:dyDescent="0.2">
      <c r="A225" s="2" t="str">
        <f t="shared" ca="1" si="4"/>
        <v/>
      </c>
      <c r="B225" s="2" t="str">
        <f>IF('H.W&amp;S.W&amp;Services'!C239=0,"",'H.W&amp;S.W&amp;Services'!C239)</f>
        <v/>
      </c>
      <c r="C225" s="2" t="str">
        <f>IF('H.W&amp;S.W&amp;Services'!C239=0,"",'H.W&amp;S.W&amp;Services'!C239)</f>
        <v/>
      </c>
      <c r="D225" s="2" t="str">
        <f>IF('H.W&amp;S.W&amp;Services'!H239=0,"",'H.W&amp;S.W&amp;Services'!H239)</f>
        <v/>
      </c>
      <c r="E225" s="2" t="str">
        <f>IF('H.W&amp;S.W&amp;Services'!I239=0,"",'H.W&amp;S.W&amp;Services'!I239)</f>
        <v/>
      </c>
      <c r="F225" s="3" t="str">
        <f>IF('H.W&amp;S.W&amp;Services'!J239=0,"",'H.W&amp;S.W&amp;Services'!J239)</f>
        <v/>
      </c>
      <c r="G225" s="4" t="str">
        <f>IF('H.W&amp;S.W&amp;Services'!O239=0,"",'H.W&amp;S.W&amp;Services'!O239)</f>
        <v/>
      </c>
      <c r="H225" s="2" t="str">
        <f>IF('H.W&amp;S.W&amp;Services'!B239=0,"",'H.W&amp;S.W&amp;Services'!B239) &amp; IF('H.W&amp;S.W&amp;Services'!F239=0,""," / "&amp;'H.W&amp;S.W&amp;Services'!F239) &amp; IF('H.W&amp;S.W&amp;Services'!G239=0,""," / "&amp;'H.W&amp;S.W&amp;Services'!G239)</f>
        <v/>
      </c>
      <c r="I225" t="str">
        <f>IF('H.W&amp;S.W&amp;Services'!D239=0,"",'H.W&amp;S.W&amp;Services'!D239)</f>
        <v/>
      </c>
      <c r="J225" s="2" t="str">
        <f>IF('H.W&amp;S.W&amp;Services'!E239=0,"",'H.W&amp;S.W&amp;Services'!E239)</f>
        <v/>
      </c>
    </row>
    <row r="226" spans="1:10" x14ac:dyDescent="0.2">
      <c r="A226" s="2" t="str">
        <f t="shared" ca="1" si="4"/>
        <v/>
      </c>
      <c r="B226" s="2" t="str">
        <f>IF('H.W&amp;S.W&amp;Services'!C240=0,"",'H.W&amp;S.W&amp;Services'!C240)</f>
        <v/>
      </c>
      <c r="C226" s="2" t="str">
        <f>IF('H.W&amp;S.W&amp;Services'!C240=0,"",'H.W&amp;S.W&amp;Services'!C240)</f>
        <v/>
      </c>
      <c r="D226" s="2" t="str">
        <f>IF('H.W&amp;S.W&amp;Services'!H240=0,"",'H.W&amp;S.W&amp;Services'!H240)</f>
        <v/>
      </c>
      <c r="E226" s="2" t="str">
        <f>IF('H.W&amp;S.W&amp;Services'!I240=0,"",'H.W&amp;S.W&amp;Services'!I240)</f>
        <v/>
      </c>
      <c r="F226" s="3" t="str">
        <f>IF('H.W&amp;S.W&amp;Services'!J240=0,"",'H.W&amp;S.W&amp;Services'!J240)</f>
        <v/>
      </c>
      <c r="G226" s="4" t="str">
        <f>IF('H.W&amp;S.W&amp;Services'!O240=0,"",'H.W&amp;S.W&amp;Services'!O240)</f>
        <v/>
      </c>
      <c r="H226" s="2" t="str">
        <f>IF('H.W&amp;S.W&amp;Services'!B240=0,"",'H.W&amp;S.W&amp;Services'!B240) &amp; IF('H.W&amp;S.W&amp;Services'!F240=0,""," / "&amp;'H.W&amp;S.W&amp;Services'!F240) &amp; IF('H.W&amp;S.W&amp;Services'!G240=0,""," / "&amp;'H.W&amp;S.W&amp;Services'!G240)</f>
        <v/>
      </c>
      <c r="I226" t="str">
        <f>IF('H.W&amp;S.W&amp;Services'!D240=0,"",'H.W&amp;S.W&amp;Services'!D240)</f>
        <v/>
      </c>
      <c r="J226" s="2" t="str">
        <f>IF('H.W&amp;S.W&amp;Services'!E240=0,"",'H.W&amp;S.W&amp;Services'!E240)</f>
        <v/>
      </c>
    </row>
    <row r="227" spans="1:10" x14ac:dyDescent="0.2">
      <c r="A227" s="2" t="str">
        <f t="shared" ca="1" si="4"/>
        <v/>
      </c>
      <c r="B227" s="2" t="str">
        <f>IF('H.W&amp;S.W&amp;Services'!C241=0,"",'H.W&amp;S.W&amp;Services'!C241)</f>
        <v/>
      </c>
      <c r="C227" s="2" t="str">
        <f>IF('H.W&amp;S.W&amp;Services'!C241=0,"",'H.W&amp;S.W&amp;Services'!C241)</f>
        <v/>
      </c>
      <c r="D227" s="2" t="str">
        <f>IF('H.W&amp;S.W&amp;Services'!H241=0,"",'H.W&amp;S.W&amp;Services'!H241)</f>
        <v/>
      </c>
      <c r="E227" s="2" t="str">
        <f>IF('H.W&amp;S.W&amp;Services'!I241=0,"",'H.W&amp;S.W&amp;Services'!I241)</f>
        <v/>
      </c>
      <c r="F227" s="3" t="str">
        <f>IF('H.W&amp;S.W&amp;Services'!J241=0,"",'H.W&amp;S.W&amp;Services'!J241)</f>
        <v/>
      </c>
      <c r="G227" s="4" t="str">
        <f>IF('H.W&amp;S.W&amp;Services'!O241=0,"",'H.W&amp;S.W&amp;Services'!O241)</f>
        <v/>
      </c>
      <c r="H227" s="2" t="str">
        <f>IF('H.W&amp;S.W&amp;Services'!B241=0,"",'H.W&amp;S.W&amp;Services'!B241) &amp; IF('H.W&amp;S.W&amp;Services'!F241=0,""," / "&amp;'H.W&amp;S.W&amp;Services'!F241) &amp; IF('H.W&amp;S.W&amp;Services'!G241=0,""," / "&amp;'H.W&amp;S.W&amp;Services'!G241)</f>
        <v/>
      </c>
      <c r="I227" t="str">
        <f>IF('H.W&amp;S.W&amp;Services'!D241=0,"",'H.W&amp;S.W&amp;Services'!D241)</f>
        <v/>
      </c>
      <c r="J227" s="2" t="str">
        <f>IF('H.W&amp;S.W&amp;Services'!E241=0,"",'H.W&amp;S.W&amp;Services'!E241)</f>
        <v/>
      </c>
    </row>
    <row r="228" spans="1:10" x14ac:dyDescent="0.2">
      <c r="A228" s="2" t="str">
        <f t="shared" ca="1" si="4"/>
        <v/>
      </c>
      <c r="B228" s="2" t="str">
        <f>IF('H.W&amp;S.W&amp;Services'!C242=0,"",'H.W&amp;S.W&amp;Services'!C242)</f>
        <v/>
      </c>
      <c r="C228" s="2" t="str">
        <f>IF('H.W&amp;S.W&amp;Services'!C242=0,"",'H.W&amp;S.W&amp;Services'!C242)</f>
        <v/>
      </c>
      <c r="D228" s="2" t="str">
        <f>IF('H.W&amp;S.W&amp;Services'!H242=0,"",'H.W&amp;S.W&amp;Services'!H242)</f>
        <v/>
      </c>
      <c r="E228" s="2" t="str">
        <f>IF('H.W&amp;S.W&amp;Services'!I242=0,"",'H.W&amp;S.W&amp;Services'!I242)</f>
        <v/>
      </c>
      <c r="F228" s="3" t="str">
        <f>IF('H.W&amp;S.W&amp;Services'!J242=0,"",'H.W&amp;S.W&amp;Services'!J242)</f>
        <v/>
      </c>
      <c r="G228" s="4" t="str">
        <f>IF('H.W&amp;S.W&amp;Services'!O242=0,"",'H.W&amp;S.W&amp;Services'!O242)</f>
        <v/>
      </c>
      <c r="H228" s="2" t="str">
        <f>IF('H.W&amp;S.W&amp;Services'!B242=0,"",'H.W&amp;S.W&amp;Services'!B242) &amp; IF('H.W&amp;S.W&amp;Services'!F242=0,""," / "&amp;'H.W&amp;S.W&amp;Services'!F242) &amp; IF('H.W&amp;S.W&amp;Services'!G242=0,""," / "&amp;'H.W&amp;S.W&amp;Services'!G242)</f>
        <v/>
      </c>
      <c r="I228" t="str">
        <f>IF('H.W&amp;S.W&amp;Services'!D242=0,"",'H.W&amp;S.W&amp;Services'!D242)</f>
        <v/>
      </c>
      <c r="J228" s="2" t="str">
        <f>IF('H.W&amp;S.W&amp;Services'!E242=0,"",'H.W&amp;S.W&amp;Services'!E242)</f>
        <v/>
      </c>
    </row>
    <row r="229" spans="1:10" x14ac:dyDescent="0.2">
      <c r="A229" s="2" t="str">
        <f t="shared" ca="1" si="4"/>
        <v/>
      </c>
      <c r="B229" s="2" t="str">
        <f>IF('H.W&amp;S.W&amp;Services'!C243=0,"",'H.W&amp;S.W&amp;Services'!C243)</f>
        <v/>
      </c>
      <c r="C229" s="2" t="str">
        <f>IF('H.W&amp;S.W&amp;Services'!C243=0,"",'H.W&amp;S.W&amp;Services'!C243)</f>
        <v/>
      </c>
      <c r="D229" s="2" t="str">
        <f>IF('H.W&amp;S.W&amp;Services'!H243=0,"",'H.W&amp;S.W&amp;Services'!H243)</f>
        <v/>
      </c>
      <c r="E229" s="2" t="str">
        <f>IF('H.W&amp;S.W&amp;Services'!I243=0,"",'H.W&amp;S.W&amp;Services'!I243)</f>
        <v/>
      </c>
      <c r="F229" s="3" t="str">
        <f>IF('H.W&amp;S.W&amp;Services'!J243=0,"",'H.W&amp;S.W&amp;Services'!J243)</f>
        <v/>
      </c>
      <c r="G229" s="4" t="str">
        <f>IF('H.W&amp;S.W&amp;Services'!O243=0,"",'H.W&amp;S.W&amp;Services'!O243)</f>
        <v/>
      </c>
      <c r="H229" s="2" t="str">
        <f>IF('H.W&amp;S.W&amp;Services'!B243=0,"",'H.W&amp;S.W&amp;Services'!B243) &amp; IF('H.W&amp;S.W&amp;Services'!F243=0,""," / "&amp;'H.W&amp;S.W&amp;Services'!F243) &amp; IF('H.W&amp;S.W&amp;Services'!G243=0,""," / "&amp;'H.W&amp;S.W&amp;Services'!G243)</f>
        <v/>
      </c>
      <c r="I229" t="str">
        <f>IF('H.W&amp;S.W&amp;Services'!D243=0,"",'H.W&amp;S.W&amp;Services'!D243)</f>
        <v/>
      </c>
      <c r="J229" s="2" t="str">
        <f>IF('H.W&amp;S.W&amp;Services'!E243=0,"",'H.W&amp;S.W&amp;Services'!E243)</f>
        <v/>
      </c>
    </row>
    <row r="230" spans="1:10" x14ac:dyDescent="0.2">
      <c r="A230" s="2" t="str">
        <f t="shared" ca="1" si="4"/>
        <v/>
      </c>
      <c r="B230" s="2" t="str">
        <f>IF('H.W&amp;S.W&amp;Services'!C244=0,"",'H.W&amp;S.W&amp;Services'!C244)</f>
        <v/>
      </c>
      <c r="C230" s="2" t="str">
        <f>IF('H.W&amp;S.W&amp;Services'!C244=0,"",'H.W&amp;S.W&amp;Services'!C244)</f>
        <v/>
      </c>
      <c r="D230" s="2" t="str">
        <f>IF('H.W&amp;S.W&amp;Services'!H244=0,"",'H.W&amp;S.W&amp;Services'!H244)</f>
        <v/>
      </c>
      <c r="E230" s="2" t="str">
        <f>IF('H.W&amp;S.W&amp;Services'!I244=0,"",'H.W&amp;S.W&amp;Services'!I244)</f>
        <v/>
      </c>
      <c r="F230" s="3" t="str">
        <f>IF('H.W&amp;S.W&amp;Services'!J244=0,"",'H.W&amp;S.W&amp;Services'!J244)</f>
        <v/>
      </c>
      <c r="G230" s="4" t="str">
        <f>IF('H.W&amp;S.W&amp;Services'!O244=0,"",'H.W&amp;S.W&amp;Services'!O244)</f>
        <v/>
      </c>
      <c r="H230" s="2" t="str">
        <f>IF('H.W&amp;S.W&amp;Services'!B244=0,"",'H.W&amp;S.W&amp;Services'!B244) &amp; IF('H.W&amp;S.W&amp;Services'!F244=0,""," / "&amp;'H.W&amp;S.W&amp;Services'!F244) &amp; IF('H.W&amp;S.W&amp;Services'!G244=0,""," / "&amp;'H.W&amp;S.W&amp;Services'!G244)</f>
        <v/>
      </c>
      <c r="I230" t="str">
        <f>IF('H.W&amp;S.W&amp;Services'!D244=0,"",'H.W&amp;S.W&amp;Services'!D244)</f>
        <v/>
      </c>
      <c r="J230" s="2" t="str">
        <f>IF('H.W&amp;S.W&amp;Services'!E244=0,"",'H.W&amp;S.W&amp;Services'!E244)</f>
        <v/>
      </c>
    </row>
    <row r="231" spans="1:10" x14ac:dyDescent="0.2">
      <c r="A231" s="2" t="str">
        <f t="shared" ca="1" si="4"/>
        <v/>
      </c>
      <c r="B231" s="2" t="str">
        <f>IF('H.W&amp;S.W&amp;Services'!C245=0,"",'H.W&amp;S.W&amp;Services'!C245)</f>
        <v/>
      </c>
      <c r="C231" s="2" t="str">
        <f>IF('H.W&amp;S.W&amp;Services'!C245=0,"",'H.W&amp;S.W&amp;Services'!C245)</f>
        <v/>
      </c>
      <c r="D231" s="2" t="str">
        <f>IF('H.W&amp;S.W&amp;Services'!H245=0,"",'H.W&amp;S.W&amp;Services'!H245)</f>
        <v/>
      </c>
      <c r="E231" s="2" t="str">
        <f>IF('H.W&amp;S.W&amp;Services'!I245=0,"",'H.W&amp;S.W&amp;Services'!I245)</f>
        <v/>
      </c>
      <c r="F231" s="3" t="str">
        <f>IF('H.W&amp;S.W&amp;Services'!J245=0,"",'H.W&amp;S.W&amp;Services'!J245)</f>
        <v/>
      </c>
      <c r="G231" s="4" t="str">
        <f>IF('H.W&amp;S.W&amp;Services'!O245=0,"",'H.W&amp;S.W&amp;Services'!O245)</f>
        <v/>
      </c>
      <c r="H231" s="2" t="str">
        <f>IF('H.W&amp;S.W&amp;Services'!B245=0,"",'H.W&amp;S.W&amp;Services'!B245) &amp; IF('H.W&amp;S.W&amp;Services'!F245=0,""," / "&amp;'H.W&amp;S.W&amp;Services'!F245) &amp; IF('H.W&amp;S.W&amp;Services'!G245=0,""," / "&amp;'H.W&amp;S.W&amp;Services'!G245)</f>
        <v/>
      </c>
      <c r="I231" t="str">
        <f>IF('H.W&amp;S.W&amp;Services'!D245=0,"",'H.W&amp;S.W&amp;Services'!D245)</f>
        <v/>
      </c>
      <c r="J231" s="2" t="str">
        <f>IF('H.W&amp;S.W&amp;Services'!E245=0,"",'H.W&amp;S.W&amp;Services'!E245)</f>
        <v/>
      </c>
    </row>
    <row r="232" spans="1:10" x14ac:dyDescent="0.2">
      <c r="A232" s="2" t="str">
        <f t="shared" ca="1" si="4"/>
        <v/>
      </c>
      <c r="B232" s="2" t="str">
        <f>IF('H.W&amp;S.W&amp;Services'!C246=0,"",'H.W&amp;S.W&amp;Services'!C246)</f>
        <v/>
      </c>
      <c r="C232" s="2" t="str">
        <f>IF('H.W&amp;S.W&amp;Services'!C246=0,"",'H.W&amp;S.W&amp;Services'!C246)</f>
        <v/>
      </c>
      <c r="D232" s="2" t="str">
        <f>IF('H.W&amp;S.W&amp;Services'!H246=0,"",'H.W&amp;S.W&amp;Services'!H246)</f>
        <v/>
      </c>
      <c r="E232" s="2" t="str">
        <f>IF('H.W&amp;S.W&amp;Services'!I246=0,"",'H.W&amp;S.W&amp;Services'!I246)</f>
        <v/>
      </c>
      <c r="F232" s="3" t="str">
        <f>IF('H.W&amp;S.W&amp;Services'!J246=0,"",'H.W&amp;S.W&amp;Services'!J246)</f>
        <v/>
      </c>
      <c r="G232" s="4" t="str">
        <f>IF('H.W&amp;S.W&amp;Services'!O246=0,"",'H.W&amp;S.W&amp;Services'!O246)</f>
        <v/>
      </c>
      <c r="H232" s="2" t="str">
        <f>IF('H.W&amp;S.W&amp;Services'!B246=0,"",'H.W&amp;S.W&amp;Services'!B246) &amp; IF('H.W&amp;S.W&amp;Services'!F246=0,""," / "&amp;'H.W&amp;S.W&amp;Services'!F246) &amp; IF('H.W&amp;S.W&amp;Services'!G246=0,""," / "&amp;'H.W&amp;S.W&amp;Services'!G246)</f>
        <v/>
      </c>
      <c r="I232" t="str">
        <f>IF('H.W&amp;S.W&amp;Services'!D246=0,"",'H.W&amp;S.W&amp;Services'!D246)</f>
        <v/>
      </c>
      <c r="J232" s="2" t="str">
        <f>IF('H.W&amp;S.W&amp;Services'!E246=0,"",'H.W&amp;S.W&amp;Services'!E246)</f>
        <v/>
      </c>
    </row>
    <row r="233" spans="1:10" x14ac:dyDescent="0.2">
      <c r="A233" s="2" t="str">
        <f t="shared" ca="1" si="4"/>
        <v/>
      </c>
      <c r="B233" s="2" t="str">
        <f>IF('H.W&amp;S.W&amp;Services'!C247=0,"",'H.W&amp;S.W&amp;Services'!C247)</f>
        <v/>
      </c>
      <c r="C233" s="2" t="str">
        <f>IF('H.W&amp;S.W&amp;Services'!C247=0,"",'H.W&amp;S.W&amp;Services'!C247)</f>
        <v/>
      </c>
      <c r="D233" s="2" t="str">
        <f>IF('H.W&amp;S.W&amp;Services'!H247=0,"",'H.W&amp;S.W&amp;Services'!H247)</f>
        <v/>
      </c>
      <c r="E233" s="2" t="str">
        <f>IF('H.W&amp;S.W&amp;Services'!I247=0,"",'H.W&amp;S.W&amp;Services'!I247)</f>
        <v/>
      </c>
      <c r="F233" s="3" t="str">
        <f>IF('H.W&amp;S.W&amp;Services'!J247=0,"",'H.W&amp;S.W&amp;Services'!J247)</f>
        <v/>
      </c>
      <c r="G233" s="4" t="str">
        <f>IF('H.W&amp;S.W&amp;Services'!O247=0,"",'H.W&amp;S.W&amp;Services'!O247)</f>
        <v/>
      </c>
      <c r="H233" s="2" t="str">
        <f>IF('H.W&amp;S.W&amp;Services'!B247=0,"",'H.W&amp;S.W&amp;Services'!B247) &amp; IF('H.W&amp;S.W&amp;Services'!F247=0,""," / "&amp;'H.W&amp;S.W&amp;Services'!F247) &amp; IF('H.W&amp;S.W&amp;Services'!G247=0,""," / "&amp;'H.W&amp;S.W&amp;Services'!G247)</f>
        <v/>
      </c>
      <c r="I233" t="str">
        <f>IF('H.W&amp;S.W&amp;Services'!D247=0,"",'H.W&amp;S.W&amp;Services'!D247)</f>
        <v/>
      </c>
      <c r="J233" s="2" t="str">
        <f>IF('H.W&amp;S.W&amp;Services'!E247=0,"",'H.W&amp;S.W&amp;Services'!E247)</f>
        <v/>
      </c>
    </row>
    <row r="234" spans="1:10" x14ac:dyDescent="0.2">
      <c r="A234" s="2" t="str">
        <f t="shared" ca="1" si="4"/>
        <v/>
      </c>
      <c r="B234" s="2" t="str">
        <f>IF('H.W&amp;S.W&amp;Services'!C248=0,"",'H.W&amp;S.W&amp;Services'!C248)</f>
        <v/>
      </c>
      <c r="C234" s="2" t="str">
        <f>IF('H.W&amp;S.W&amp;Services'!C248=0,"",'H.W&amp;S.W&amp;Services'!C248)</f>
        <v/>
      </c>
      <c r="D234" s="2" t="str">
        <f>IF('H.W&amp;S.W&amp;Services'!H248=0,"",'H.W&amp;S.W&amp;Services'!H248)</f>
        <v/>
      </c>
      <c r="E234" s="2" t="str">
        <f>IF('H.W&amp;S.W&amp;Services'!I248=0,"",'H.W&amp;S.W&amp;Services'!I248)</f>
        <v/>
      </c>
      <c r="F234" s="3" t="str">
        <f>IF('H.W&amp;S.W&amp;Services'!J248=0,"",'H.W&amp;S.W&amp;Services'!J248)</f>
        <v/>
      </c>
      <c r="G234" s="4" t="str">
        <f>IF('H.W&amp;S.W&amp;Services'!O248=0,"",'H.W&amp;S.W&amp;Services'!O248)</f>
        <v/>
      </c>
      <c r="H234" s="2" t="str">
        <f>IF('H.W&amp;S.W&amp;Services'!B248=0,"",'H.W&amp;S.W&amp;Services'!B248) &amp; IF('H.W&amp;S.W&amp;Services'!F248=0,""," / "&amp;'H.W&amp;S.W&amp;Services'!F248) &amp; IF('H.W&amp;S.W&amp;Services'!G248=0,""," / "&amp;'H.W&amp;S.W&amp;Services'!G248)</f>
        <v/>
      </c>
      <c r="I234" t="str">
        <f>IF('H.W&amp;S.W&amp;Services'!D248=0,"",'H.W&amp;S.W&amp;Services'!D248)</f>
        <v/>
      </c>
      <c r="J234" s="2" t="str">
        <f>IF('H.W&amp;S.W&amp;Services'!E248=0,"",'H.W&amp;S.W&amp;Services'!E248)</f>
        <v/>
      </c>
    </row>
    <row r="235" spans="1:10" x14ac:dyDescent="0.2">
      <c r="A235" s="2" t="str">
        <f t="shared" ca="1" si="4"/>
        <v/>
      </c>
      <c r="B235" s="2" t="str">
        <f>IF('H.W&amp;S.W&amp;Services'!C249=0,"",'H.W&amp;S.W&amp;Services'!C249)</f>
        <v/>
      </c>
      <c r="C235" s="2" t="str">
        <f>IF('H.W&amp;S.W&amp;Services'!C249=0,"",'H.W&amp;S.W&amp;Services'!C249)</f>
        <v/>
      </c>
      <c r="D235" s="2" t="str">
        <f>IF('H.W&amp;S.W&amp;Services'!H249=0,"",'H.W&amp;S.W&amp;Services'!H249)</f>
        <v/>
      </c>
      <c r="E235" s="2" t="str">
        <f>IF('H.W&amp;S.W&amp;Services'!I249=0,"",'H.W&amp;S.W&amp;Services'!I249)</f>
        <v/>
      </c>
      <c r="F235" s="3" t="str">
        <f>IF('H.W&amp;S.W&amp;Services'!J249=0,"",'H.W&amp;S.W&amp;Services'!J249)</f>
        <v/>
      </c>
      <c r="G235" s="4" t="str">
        <f>IF('H.W&amp;S.W&amp;Services'!O249=0,"",'H.W&amp;S.W&amp;Services'!O249)</f>
        <v/>
      </c>
      <c r="H235" s="2" t="str">
        <f>IF('H.W&amp;S.W&amp;Services'!B249=0,"",'H.W&amp;S.W&amp;Services'!B249) &amp; IF('H.W&amp;S.W&amp;Services'!F249=0,""," / "&amp;'H.W&amp;S.W&amp;Services'!F249) &amp; IF('H.W&amp;S.W&amp;Services'!G249=0,""," / "&amp;'H.W&amp;S.W&amp;Services'!G249)</f>
        <v/>
      </c>
      <c r="I235" t="str">
        <f>IF('H.W&amp;S.W&amp;Services'!D249=0,"",'H.W&amp;S.W&amp;Services'!D249)</f>
        <v/>
      </c>
      <c r="J235" s="2" t="str">
        <f>IF('H.W&amp;S.W&amp;Services'!E249=0,"",'H.W&amp;S.W&amp;Services'!E249)</f>
        <v/>
      </c>
    </row>
    <row r="236" spans="1:10" x14ac:dyDescent="0.2">
      <c r="A236" s="2" t="str">
        <f t="shared" ca="1" si="4"/>
        <v/>
      </c>
      <c r="B236" s="2" t="str">
        <f>IF('H.W&amp;S.W&amp;Services'!C250=0,"",'H.W&amp;S.W&amp;Services'!C250)</f>
        <v/>
      </c>
      <c r="C236" s="2" t="str">
        <f>IF('H.W&amp;S.W&amp;Services'!C250=0,"",'H.W&amp;S.W&amp;Services'!C250)</f>
        <v/>
      </c>
      <c r="D236" s="2" t="str">
        <f>IF('H.W&amp;S.W&amp;Services'!H250=0,"",'H.W&amp;S.W&amp;Services'!H250)</f>
        <v/>
      </c>
      <c r="E236" s="2" t="str">
        <f>IF('H.W&amp;S.W&amp;Services'!I250=0,"",'H.W&amp;S.W&amp;Services'!I250)</f>
        <v/>
      </c>
      <c r="F236" s="3" t="str">
        <f>IF('H.W&amp;S.W&amp;Services'!J250=0,"",'H.W&amp;S.W&amp;Services'!J250)</f>
        <v/>
      </c>
      <c r="G236" s="4" t="str">
        <f>IF('H.W&amp;S.W&amp;Services'!O250=0,"",'H.W&amp;S.W&amp;Services'!O250)</f>
        <v/>
      </c>
      <c r="H236" s="2" t="str">
        <f>IF('H.W&amp;S.W&amp;Services'!B250=0,"",'H.W&amp;S.W&amp;Services'!B250) &amp; IF('H.W&amp;S.W&amp;Services'!F250=0,""," / "&amp;'H.W&amp;S.W&amp;Services'!F250) &amp; IF('H.W&amp;S.W&amp;Services'!G250=0,""," / "&amp;'H.W&amp;S.W&amp;Services'!G250)</f>
        <v/>
      </c>
      <c r="I236" t="str">
        <f>IF('H.W&amp;S.W&amp;Services'!D250=0,"",'H.W&amp;S.W&amp;Services'!D250)</f>
        <v/>
      </c>
      <c r="J236" s="2" t="str">
        <f>IF('H.W&amp;S.W&amp;Services'!E250=0,"",'H.W&amp;S.W&amp;Services'!E250)</f>
        <v/>
      </c>
    </row>
    <row r="237" spans="1:10" x14ac:dyDescent="0.2">
      <c r="A237" s="2" t="str">
        <f t="shared" ca="1" si="4"/>
        <v/>
      </c>
      <c r="B237" s="2" t="str">
        <f>IF('H.W&amp;S.W&amp;Services'!C251=0,"",'H.W&amp;S.W&amp;Services'!C251)</f>
        <v/>
      </c>
      <c r="C237" s="2" t="str">
        <f>IF('H.W&amp;S.W&amp;Services'!C251=0,"",'H.W&amp;S.W&amp;Services'!C251)</f>
        <v/>
      </c>
      <c r="D237" s="2" t="str">
        <f>IF('H.W&amp;S.W&amp;Services'!H251=0,"",'H.W&amp;S.W&amp;Services'!H251)</f>
        <v/>
      </c>
      <c r="E237" s="2" t="str">
        <f>IF('H.W&amp;S.W&amp;Services'!I251=0,"",'H.W&amp;S.W&amp;Services'!I251)</f>
        <v/>
      </c>
      <c r="F237" s="3" t="str">
        <f>IF('H.W&amp;S.W&amp;Services'!J251=0,"",'H.W&amp;S.W&amp;Services'!J251)</f>
        <v/>
      </c>
      <c r="G237" s="4" t="str">
        <f>IF('H.W&amp;S.W&amp;Services'!O251=0,"",'H.W&amp;S.W&amp;Services'!O251)</f>
        <v/>
      </c>
      <c r="H237" s="2" t="str">
        <f>IF('H.W&amp;S.W&amp;Services'!B251=0,"",'H.W&amp;S.W&amp;Services'!B251) &amp; IF('H.W&amp;S.W&amp;Services'!F251=0,""," / "&amp;'H.W&amp;S.W&amp;Services'!F251) &amp; IF('H.W&amp;S.W&amp;Services'!G251=0,""," / "&amp;'H.W&amp;S.W&amp;Services'!G251)</f>
        <v/>
      </c>
      <c r="I237" t="str">
        <f>IF('H.W&amp;S.W&amp;Services'!D251=0,"",'H.W&amp;S.W&amp;Services'!D251)</f>
        <v/>
      </c>
      <c r="J237" s="2" t="str">
        <f>IF('H.W&amp;S.W&amp;Services'!E251=0,"",'H.W&amp;S.W&amp;Services'!E251)</f>
        <v/>
      </c>
    </row>
    <row r="238" spans="1:10" x14ac:dyDescent="0.2">
      <c r="A238" s="2" t="str">
        <f t="shared" ca="1" si="4"/>
        <v/>
      </c>
      <c r="B238" s="2" t="str">
        <f>IF('H.W&amp;S.W&amp;Services'!C252=0,"",'H.W&amp;S.W&amp;Services'!C252)</f>
        <v/>
      </c>
      <c r="C238" s="2" t="str">
        <f>IF('H.W&amp;S.W&amp;Services'!C252=0,"",'H.W&amp;S.W&amp;Services'!C252)</f>
        <v/>
      </c>
      <c r="D238" s="2" t="str">
        <f>IF('H.W&amp;S.W&amp;Services'!H252=0,"",'H.W&amp;S.W&amp;Services'!H252)</f>
        <v/>
      </c>
      <c r="E238" s="2" t="str">
        <f>IF('H.W&amp;S.W&amp;Services'!I252=0,"",'H.W&amp;S.W&amp;Services'!I252)</f>
        <v/>
      </c>
      <c r="F238" s="3" t="str">
        <f>IF('H.W&amp;S.W&amp;Services'!J252=0,"",'H.W&amp;S.W&amp;Services'!J252)</f>
        <v/>
      </c>
      <c r="G238" s="4" t="str">
        <f>IF('H.W&amp;S.W&amp;Services'!O252=0,"",'H.W&amp;S.W&amp;Services'!O252)</f>
        <v/>
      </c>
      <c r="H238" s="2" t="str">
        <f>IF('H.W&amp;S.W&amp;Services'!B252=0,"",'H.W&amp;S.W&amp;Services'!B252) &amp; IF('H.W&amp;S.W&amp;Services'!F252=0,""," / "&amp;'H.W&amp;S.W&amp;Services'!F252) &amp; IF('H.W&amp;S.W&amp;Services'!G252=0,""," / "&amp;'H.W&amp;S.W&amp;Services'!G252)</f>
        <v/>
      </c>
      <c r="I238" t="str">
        <f>IF('H.W&amp;S.W&amp;Services'!D252=0,"",'H.W&amp;S.W&amp;Services'!D252)</f>
        <v/>
      </c>
      <c r="J238" s="2" t="str">
        <f>IF('H.W&amp;S.W&amp;Services'!E252=0,"",'H.W&amp;S.W&amp;Services'!E252)</f>
        <v/>
      </c>
    </row>
    <row r="239" spans="1:10" x14ac:dyDescent="0.2">
      <c r="A239" s="2" t="str">
        <f t="shared" ca="1" si="4"/>
        <v/>
      </c>
      <c r="B239" s="2" t="str">
        <f>IF('H.W&amp;S.W&amp;Services'!C253=0,"",'H.W&amp;S.W&amp;Services'!C253)</f>
        <v/>
      </c>
      <c r="C239" s="2" t="str">
        <f>IF('H.W&amp;S.W&amp;Services'!C253=0,"",'H.W&amp;S.W&amp;Services'!C253)</f>
        <v/>
      </c>
      <c r="D239" s="2" t="str">
        <f>IF('H.W&amp;S.W&amp;Services'!H253=0,"",'H.W&amp;S.W&amp;Services'!H253)</f>
        <v/>
      </c>
      <c r="E239" s="2" t="str">
        <f>IF('H.W&amp;S.W&amp;Services'!I253=0,"",'H.W&amp;S.W&amp;Services'!I253)</f>
        <v/>
      </c>
      <c r="F239" s="3" t="str">
        <f>IF('H.W&amp;S.W&amp;Services'!J253=0,"",'H.W&amp;S.W&amp;Services'!J253)</f>
        <v/>
      </c>
      <c r="G239" s="4" t="str">
        <f>IF('H.W&amp;S.W&amp;Services'!O253=0,"",'H.W&amp;S.W&amp;Services'!O253)</f>
        <v/>
      </c>
      <c r="H239" s="2" t="str">
        <f>IF('H.W&amp;S.W&amp;Services'!B253=0,"",'H.W&amp;S.W&amp;Services'!B253) &amp; IF('H.W&amp;S.W&amp;Services'!F253=0,""," / "&amp;'H.W&amp;S.W&amp;Services'!F253) &amp; IF('H.W&amp;S.W&amp;Services'!G253=0,""," / "&amp;'H.W&amp;S.W&amp;Services'!G253)</f>
        <v/>
      </c>
      <c r="I239" t="str">
        <f>IF('H.W&amp;S.W&amp;Services'!D253=0,"",'H.W&amp;S.W&amp;Services'!D253)</f>
        <v/>
      </c>
      <c r="J239" s="2" t="str">
        <f>IF('H.W&amp;S.W&amp;Services'!E253=0,"",'H.W&amp;S.W&amp;Services'!E253)</f>
        <v/>
      </c>
    </row>
    <row r="240" spans="1:10" x14ac:dyDescent="0.2">
      <c r="A240" s="2" t="str">
        <f t="shared" ca="1" si="4"/>
        <v/>
      </c>
      <c r="B240" s="2" t="str">
        <f>IF('H.W&amp;S.W&amp;Services'!C254=0,"",'H.W&amp;S.W&amp;Services'!C254)</f>
        <v/>
      </c>
      <c r="C240" s="2" t="str">
        <f>IF('H.W&amp;S.W&amp;Services'!C254=0,"",'H.W&amp;S.W&amp;Services'!C254)</f>
        <v/>
      </c>
      <c r="D240" s="2" t="str">
        <f>IF('H.W&amp;S.W&amp;Services'!H254=0,"",'H.W&amp;S.W&amp;Services'!H254)</f>
        <v/>
      </c>
      <c r="E240" s="2" t="str">
        <f>IF('H.W&amp;S.W&amp;Services'!I254=0,"",'H.W&amp;S.W&amp;Services'!I254)</f>
        <v/>
      </c>
      <c r="F240" s="3" t="str">
        <f>IF('H.W&amp;S.W&amp;Services'!J254=0,"",'H.W&amp;S.W&amp;Services'!J254)</f>
        <v/>
      </c>
      <c r="G240" s="4" t="str">
        <f>IF('H.W&amp;S.W&amp;Services'!O254=0,"",'H.W&amp;S.W&amp;Services'!O254)</f>
        <v/>
      </c>
      <c r="H240" s="2" t="str">
        <f>IF('H.W&amp;S.W&amp;Services'!B254=0,"",'H.W&amp;S.W&amp;Services'!B254) &amp; IF('H.W&amp;S.W&amp;Services'!F254=0,""," / "&amp;'H.W&amp;S.W&amp;Services'!F254) &amp; IF('H.W&amp;S.W&amp;Services'!G254=0,""," / "&amp;'H.W&amp;S.W&amp;Services'!G254)</f>
        <v/>
      </c>
      <c r="I240" t="str">
        <f>IF('H.W&amp;S.W&amp;Services'!D254=0,"",'H.W&amp;S.W&amp;Services'!D254)</f>
        <v/>
      </c>
      <c r="J240" s="2" t="str">
        <f>IF('H.W&amp;S.W&amp;Services'!E254=0,"",'H.W&amp;S.W&amp;Services'!E254)</f>
        <v/>
      </c>
    </row>
    <row r="241" spans="1:10" x14ac:dyDescent="0.2">
      <c r="A241" s="2" t="str">
        <f t="shared" ca="1" si="4"/>
        <v/>
      </c>
      <c r="B241" s="2" t="str">
        <f>IF('H.W&amp;S.W&amp;Services'!C255=0,"",'H.W&amp;S.W&amp;Services'!C255)</f>
        <v/>
      </c>
      <c r="C241" s="2" t="str">
        <f>IF('H.W&amp;S.W&amp;Services'!C255=0,"",'H.W&amp;S.W&amp;Services'!C255)</f>
        <v/>
      </c>
      <c r="D241" s="2" t="str">
        <f>IF('H.W&amp;S.W&amp;Services'!H255=0,"",'H.W&amp;S.W&amp;Services'!H255)</f>
        <v/>
      </c>
      <c r="E241" s="2" t="str">
        <f>IF('H.W&amp;S.W&amp;Services'!I255=0,"",'H.W&amp;S.W&amp;Services'!I255)</f>
        <v/>
      </c>
      <c r="F241" s="3" t="str">
        <f>IF('H.W&amp;S.W&amp;Services'!J255=0,"",'H.W&amp;S.W&amp;Services'!J255)</f>
        <v/>
      </c>
      <c r="G241" s="4" t="str">
        <f>IF('H.W&amp;S.W&amp;Services'!O255=0,"",'H.W&amp;S.W&amp;Services'!O255)</f>
        <v/>
      </c>
      <c r="H241" s="2" t="str">
        <f>IF('H.W&amp;S.W&amp;Services'!B255=0,"",'H.W&amp;S.W&amp;Services'!B255) &amp; IF('H.W&amp;S.W&amp;Services'!F255=0,""," / "&amp;'H.W&amp;S.W&amp;Services'!F255) &amp; IF('H.W&amp;S.W&amp;Services'!G255=0,""," / "&amp;'H.W&amp;S.W&amp;Services'!G255)</f>
        <v/>
      </c>
      <c r="I241" t="str">
        <f>IF('H.W&amp;S.W&amp;Services'!D255=0,"",'H.W&amp;S.W&amp;Services'!D255)</f>
        <v/>
      </c>
      <c r="J241" s="2" t="str">
        <f>IF('H.W&amp;S.W&amp;Services'!E255=0,"",'H.W&amp;S.W&amp;Services'!E255)</f>
        <v/>
      </c>
    </row>
    <row r="242" spans="1:10" x14ac:dyDescent="0.2">
      <c r="A242" s="2" t="str">
        <f t="shared" ca="1" si="4"/>
        <v/>
      </c>
      <c r="B242" s="2" t="str">
        <f>IF('H.W&amp;S.W&amp;Services'!C256=0,"",'H.W&amp;S.W&amp;Services'!C256)</f>
        <v/>
      </c>
      <c r="C242" s="2" t="str">
        <f>IF('H.W&amp;S.W&amp;Services'!C256=0,"",'H.W&amp;S.W&amp;Services'!C256)</f>
        <v/>
      </c>
      <c r="D242" s="2" t="str">
        <f>IF('H.W&amp;S.W&amp;Services'!H256=0,"",'H.W&amp;S.W&amp;Services'!H256)</f>
        <v/>
      </c>
      <c r="E242" s="2" t="str">
        <f>IF('H.W&amp;S.W&amp;Services'!I256=0,"",'H.W&amp;S.W&amp;Services'!I256)</f>
        <v/>
      </c>
      <c r="F242" s="3" t="str">
        <f>IF('H.W&amp;S.W&amp;Services'!J256=0,"",'H.W&amp;S.W&amp;Services'!J256)</f>
        <v/>
      </c>
      <c r="G242" s="4" t="str">
        <f>IF('H.W&amp;S.W&amp;Services'!O256=0,"",'H.W&amp;S.W&amp;Services'!O256)</f>
        <v/>
      </c>
      <c r="H242" s="2" t="str">
        <f>IF('H.W&amp;S.W&amp;Services'!B256=0,"",'H.W&amp;S.W&amp;Services'!B256) &amp; IF('H.W&amp;S.W&amp;Services'!F256=0,""," / "&amp;'H.W&amp;S.W&amp;Services'!F256) &amp; IF('H.W&amp;S.W&amp;Services'!G256=0,""," / "&amp;'H.W&amp;S.W&amp;Services'!G256)</f>
        <v/>
      </c>
      <c r="I242" t="str">
        <f>IF('H.W&amp;S.W&amp;Services'!D256=0,"",'H.W&amp;S.W&amp;Services'!D256)</f>
        <v/>
      </c>
      <c r="J242" s="2" t="str">
        <f>IF('H.W&amp;S.W&amp;Services'!E256=0,"",'H.W&amp;S.W&amp;Services'!E256)</f>
        <v/>
      </c>
    </row>
    <row r="243" spans="1:10" x14ac:dyDescent="0.2">
      <c r="A243" s="2" t="str">
        <f t="shared" ca="1" si="4"/>
        <v/>
      </c>
      <c r="B243" s="2" t="str">
        <f>IF('H.W&amp;S.W&amp;Services'!C257=0,"",'H.W&amp;S.W&amp;Services'!C257)</f>
        <v/>
      </c>
      <c r="C243" s="2" t="str">
        <f>IF('H.W&amp;S.W&amp;Services'!C257=0,"",'H.W&amp;S.W&amp;Services'!C257)</f>
        <v/>
      </c>
      <c r="D243" s="2" t="str">
        <f>IF('H.W&amp;S.W&amp;Services'!H257=0,"",'H.W&amp;S.W&amp;Services'!H257)</f>
        <v/>
      </c>
      <c r="E243" s="2" t="str">
        <f>IF('H.W&amp;S.W&amp;Services'!I257=0,"",'H.W&amp;S.W&amp;Services'!I257)</f>
        <v/>
      </c>
      <c r="F243" s="3" t="str">
        <f>IF('H.W&amp;S.W&amp;Services'!J257=0,"",'H.W&amp;S.W&amp;Services'!J257)</f>
        <v/>
      </c>
      <c r="G243" s="4" t="str">
        <f>IF('H.W&amp;S.W&amp;Services'!O257=0,"",'H.W&amp;S.W&amp;Services'!O257)</f>
        <v/>
      </c>
      <c r="H243" s="2" t="str">
        <f>IF('H.W&amp;S.W&amp;Services'!B257=0,"",'H.W&amp;S.W&amp;Services'!B257) &amp; IF('H.W&amp;S.W&amp;Services'!F257=0,""," / "&amp;'H.W&amp;S.W&amp;Services'!F257) &amp; IF('H.W&amp;S.W&amp;Services'!G257=0,""," / "&amp;'H.W&amp;S.W&amp;Services'!G257)</f>
        <v/>
      </c>
      <c r="I243" t="str">
        <f>IF('H.W&amp;S.W&amp;Services'!D257=0,"",'H.W&amp;S.W&amp;Services'!D257)</f>
        <v/>
      </c>
      <c r="J243" s="2" t="str">
        <f>IF('H.W&amp;S.W&amp;Services'!E257=0,"",'H.W&amp;S.W&amp;Services'!E257)</f>
        <v/>
      </c>
    </row>
    <row r="244" spans="1:10" x14ac:dyDescent="0.2">
      <c r="A244" s="2" t="str">
        <f t="shared" ca="1" si="4"/>
        <v/>
      </c>
      <c r="B244" s="2" t="str">
        <f>IF('H.W&amp;S.W&amp;Services'!C258=0,"",'H.W&amp;S.W&amp;Services'!C258)</f>
        <v/>
      </c>
      <c r="C244" s="2" t="str">
        <f>IF('H.W&amp;S.W&amp;Services'!C258=0,"",'H.W&amp;S.W&amp;Services'!C258)</f>
        <v/>
      </c>
      <c r="D244" s="2" t="str">
        <f>IF('H.W&amp;S.W&amp;Services'!H258=0,"",'H.W&amp;S.W&amp;Services'!H258)</f>
        <v/>
      </c>
      <c r="E244" s="2" t="str">
        <f>IF('H.W&amp;S.W&amp;Services'!I258=0,"",'H.W&amp;S.W&amp;Services'!I258)</f>
        <v/>
      </c>
      <c r="F244" s="3" t="str">
        <f>IF('H.W&amp;S.W&amp;Services'!J258=0,"",'H.W&amp;S.W&amp;Services'!J258)</f>
        <v/>
      </c>
      <c r="G244" s="4" t="str">
        <f>IF('H.W&amp;S.W&amp;Services'!O258=0,"",'H.W&amp;S.W&amp;Services'!O258)</f>
        <v/>
      </c>
      <c r="H244" s="2" t="str">
        <f>IF('H.W&amp;S.W&amp;Services'!B258=0,"",'H.W&amp;S.W&amp;Services'!B258) &amp; IF('H.W&amp;S.W&amp;Services'!F258=0,""," / "&amp;'H.W&amp;S.W&amp;Services'!F258) &amp; IF('H.W&amp;S.W&amp;Services'!G258=0,""," / "&amp;'H.W&amp;S.W&amp;Services'!G258)</f>
        <v/>
      </c>
      <c r="I244" t="str">
        <f>IF('H.W&amp;S.W&amp;Services'!D258=0,"",'H.W&amp;S.W&amp;Services'!D258)</f>
        <v/>
      </c>
      <c r="J244" s="2" t="str">
        <f>IF('H.W&amp;S.W&amp;Services'!E258=0,"",'H.W&amp;S.W&amp;Services'!E258)</f>
        <v/>
      </c>
    </row>
    <row r="245" spans="1:10" x14ac:dyDescent="0.2">
      <c r="A245" s="2" t="str">
        <f t="shared" ca="1" si="4"/>
        <v/>
      </c>
      <c r="B245" s="2" t="str">
        <f>IF('H.W&amp;S.W&amp;Services'!C259=0,"",'H.W&amp;S.W&amp;Services'!C259)</f>
        <v/>
      </c>
      <c r="C245" s="2" t="str">
        <f>IF('H.W&amp;S.W&amp;Services'!C259=0,"",'H.W&amp;S.W&amp;Services'!C259)</f>
        <v/>
      </c>
      <c r="D245" s="2" t="str">
        <f>IF('H.W&amp;S.W&amp;Services'!H259=0,"",'H.W&amp;S.W&amp;Services'!H259)</f>
        <v/>
      </c>
      <c r="E245" s="2" t="str">
        <f>IF('H.W&amp;S.W&amp;Services'!I259=0,"",'H.W&amp;S.W&amp;Services'!I259)</f>
        <v/>
      </c>
      <c r="F245" s="3" t="str">
        <f>IF('H.W&amp;S.W&amp;Services'!J259=0,"",'H.W&amp;S.W&amp;Services'!J259)</f>
        <v/>
      </c>
      <c r="G245" s="4" t="str">
        <f>IF('H.W&amp;S.W&amp;Services'!O259=0,"",'H.W&amp;S.W&amp;Services'!O259)</f>
        <v/>
      </c>
      <c r="H245" s="2" t="str">
        <f>IF('H.W&amp;S.W&amp;Services'!B259=0,"",'H.W&amp;S.W&amp;Services'!B259) &amp; IF('H.W&amp;S.W&amp;Services'!F259=0,""," / "&amp;'H.W&amp;S.W&amp;Services'!F259) &amp; IF('H.W&amp;S.W&amp;Services'!G259=0,""," / "&amp;'H.W&amp;S.W&amp;Services'!G259)</f>
        <v/>
      </c>
      <c r="I245" t="str">
        <f>IF('H.W&amp;S.W&amp;Services'!D259=0,"",'H.W&amp;S.W&amp;Services'!D259)</f>
        <v/>
      </c>
      <c r="J245" s="2" t="str">
        <f>IF('H.W&amp;S.W&amp;Services'!E259=0,"",'H.W&amp;S.W&amp;Services'!E259)</f>
        <v/>
      </c>
    </row>
    <row r="246" spans="1:10" x14ac:dyDescent="0.2">
      <c r="A246" s="2" t="str">
        <f t="shared" ca="1" si="4"/>
        <v/>
      </c>
      <c r="B246" s="2" t="str">
        <f>IF('H.W&amp;S.W&amp;Services'!C260=0,"",'H.W&amp;S.W&amp;Services'!C260)</f>
        <v/>
      </c>
      <c r="C246" s="2" t="str">
        <f>IF('H.W&amp;S.W&amp;Services'!C260=0,"",'H.W&amp;S.W&amp;Services'!C260)</f>
        <v/>
      </c>
      <c r="D246" s="2" t="str">
        <f>IF('H.W&amp;S.W&amp;Services'!H260=0,"",'H.W&amp;S.W&amp;Services'!H260)</f>
        <v/>
      </c>
      <c r="E246" s="2" t="str">
        <f>IF('H.W&amp;S.W&amp;Services'!I260=0,"",'H.W&amp;S.W&amp;Services'!I260)</f>
        <v/>
      </c>
      <c r="F246" s="3" t="str">
        <f>IF('H.W&amp;S.W&amp;Services'!J260=0,"",'H.W&amp;S.W&amp;Services'!J260)</f>
        <v/>
      </c>
      <c r="G246" s="4" t="str">
        <f>IF('H.W&amp;S.W&amp;Services'!O260=0,"",'H.W&amp;S.W&amp;Services'!O260)</f>
        <v/>
      </c>
      <c r="H246" s="2" t="str">
        <f>IF('H.W&amp;S.W&amp;Services'!B260=0,"",'H.W&amp;S.W&amp;Services'!B260) &amp; IF('H.W&amp;S.W&amp;Services'!F260=0,""," / "&amp;'H.W&amp;S.W&amp;Services'!F260) &amp; IF('H.W&amp;S.W&amp;Services'!G260=0,""," / "&amp;'H.W&amp;S.W&amp;Services'!G260)</f>
        <v/>
      </c>
      <c r="I246" t="str">
        <f>IF('H.W&amp;S.W&amp;Services'!D260=0,"",'H.W&amp;S.W&amp;Services'!D260)</f>
        <v/>
      </c>
      <c r="J246" s="2" t="str">
        <f>IF('H.W&amp;S.W&amp;Services'!E260=0,"",'H.W&amp;S.W&amp;Services'!E260)</f>
        <v/>
      </c>
    </row>
    <row r="247" spans="1:10" x14ac:dyDescent="0.2">
      <c r="A247" s="2" t="str">
        <f t="shared" ca="1" si="4"/>
        <v/>
      </c>
      <c r="B247" s="2" t="str">
        <f>IF('H.W&amp;S.W&amp;Services'!C261=0,"",'H.W&amp;S.W&amp;Services'!C261)</f>
        <v/>
      </c>
      <c r="C247" s="2" t="str">
        <f>IF('H.W&amp;S.W&amp;Services'!C261=0,"",'H.W&amp;S.W&amp;Services'!C261)</f>
        <v/>
      </c>
      <c r="D247" s="2" t="str">
        <f>IF('H.W&amp;S.W&amp;Services'!H261=0,"",'H.W&amp;S.W&amp;Services'!H261)</f>
        <v/>
      </c>
      <c r="E247" s="2" t="str">
        <f>IF('H.W&amp;S.W&amp;Services'!I261=0,"",'H.W&amp;S.W&amp;Services'!I261)</f>
        <v/>
      </c>
      <c r="F247" s="3" t="str">
        <f>IF('H.W&amp;S.W&amp;Services'!J261=0,"",'H.W&amp;S.W&amp;Services'!J261)</f>
        <v/>
      </c>
      <c r="G247" s="4" t="str">
        <f>IF('H.W&amp;S.W&amp;Services'!O261=0,"",'H.W&amp;S.W&amp;Services'!O261)</f>
        <v/>
      </c>
      <c r="H247" s="2" t="str">
        <f>IF('H.W&amp;S.W&amp;Services'!B261=0,"",'H.W&amp;S.W&amp;Services'!B261) &amp; IF('H.W&amp;S.W&amp;Services'!F261=0,""," / "&amp;'H.W&amp;S.W&amp;Services'!F261) &amp; IF('H.W&amp;S.W&amp;Services'!G261=0,""," / "&amp;'H.W&amp;S.W&amp;Services'!G261)</f>
        <v/>
      </c>
      <c r="I247" t="str">
        <f>IF('H.W&amp;S.W&amp;Services'!D261=0,"",'H.W&amp;S.W&amp;Services'!D261)</f>
        <v/>
      </c>
      <c r="J247" s="2" t="str">
        <f>IF('H.W&amp;S.W&amp;Services'!E261=0,"",'H.W&amp;S.W&amp;Services'!E261)</f>
        <v/>
      </c>
    </row>
    <row r="248" spans="1:10" x14ac:dyDescent="0.2">
      <c r="A248" s="2" t="str">
        <f t="shared" ca="1" si="4"/>
        <v/>
      </c>
      <c r="B248" s="2" t="str">
        <f>IF('H.W&amp;S.W&amp;Services'!C262=0,"",'H.W&amp;S.W&amp;Services'!C262)</f>
        <v/>
      </c>
      <c r="C248" s="2" t="str">
        <f>IF('H.W&amp;S.W&amp;Services'!C262=0,"",'H.W&amp;S.W&amp;Services'!C262)</f>
        <v/>
      </c>
      <c r="D248" s="2" t="str">
        <f>IF('H.W&amp;S.W&amp;Services'!H262=0,"",'H.W&amp;S.W&amp;Services'!H262)</f>
        <v/>
      </c>
      <c r="E248" s="2" t="str">
        <f>IF('H.W&amp;S.W&amp;Services'!I262=0,"",'H.W&amp;S.W&amp;Services'!I262)</f>
        <v/>
      </c>
      <c r="F248" s="3" t="str">
        <f>IF('H.W&amp;S.W&amp;Services'!J262=0,"",'H.W&amp;S.W&amp;Services'!J262)</f>
        <v/>
      </c>
      <c r="G248" s="4" t="str">
        <f>IF('H.W&amp;S.W&amp;Services'!O262=0,"",'H.W&amp;S.W&amp;Services'!O262)</f>
        <v/>
      </c>
      <c r="H248" s="2" t="str">
        <f>IF('H.W&amp;S.W&amp;Services'!B262=0,"",'H.W&amp;S.W&amp;Services'!B262) &amp; IF('H.W&amp;S.W&amp;Services'!F262=0,""," / "&amp;'H.W&amp;S.W&amp;Services'!F262) &amp; IF('H.W&amp;S.W&amp;Services'!G262=0,""," / "&amp;'H.W&amp;S.W&amp;Services'!G262)</f>
        <v/>
      </c>
      <c r="I248" t="str">
        <f>IF('H.W&amp;S.W&amp;Services'!D262=0,"",'H.W&amp;S.W&amp;Services'!D262)</f>
        <v/>
      </c>
      <c r="J248" s="2" t="str">
        <f>IF('H.W&amp;S.W&amp;Services'!E262=0,"",'H.W&amp;S.W&amp;Services'!E262)</f>
        <v/>
      </c>
    </row>
    <row r="249" spans="1:10" x14ac:dyDescent="0.2">
      <c r="A249" s="2" t="str">
        <f t="shared" ca="1" si="4"/>
        <v/>
      </c>
      <c r="B249" s="2" t="str">
        <f>IF('H.W&amp;S.W&amp;Services'!C263=0,"",'H.W&amp;S.W&amp;Services'!C263)</f>
        <v/>
      </c>
      <c r="C249" s="2" t="str">
        <f>IF('H.W&amp;S.W&amp;Services'!C263=0,"",'H.W&amp;S.W&amp;Services'!C263)</f>
        <v/>
      </c>
      <c r="D249" s="2" t="str">
        <f>IF('H.W&amp;S.W&amp;Services'!H263=0,"",'H.W&amp;S.W&amp;Services'!H263)</f>
        <v/>
      </c>
      <c r="E249" s="2" t="str">
        <f>IF('H.W&amp;S.W&amp;Services'!I263=0,"",'H.W&amp;S.W&amp;Services'!I263)</f>
        <v/>
      </c>
      <c r="F249" s="3" t="str">
        <f>IF('H.W&amp;S.W&amp;Services'!J263=0,"",'H.W&amp;S.W&amp;Services'!J263)</f>
        <v/>
      </c>
      <c r="G249" s="4" t="str">
        <f>IF('H.W&amp;S.W&amp;Services'!O263=0,"",'H.W&amp;S.W&amp;Services'!O263)</f>
        <v/>
      </c>
      <c r="H249" s="2" t="str">
        <f>IF('H.W&amp;S.W&amp;Services'!B263=0,"",'H.W&amp;S.W&amp;Services'!B263) &amp; IF('H.W&amp;S.W&amp;Services'!F263=0,""," / "&amp;'H.W&amp;S.W&amp;Services'!F263) &amp; IF('H.W&amp;S.W&amp;Services'!G263=0,""," / "&amp;'H.W&amp;S.W&amp;Services'!G263)</f>
        <v/>
      </c>
      <c r="I249" t="str">
        <f>IF('H.W&amp;S.W&amp;Services'!D263=0,"",'H.W&amp;S.W&amp;Services'!D263)</f>
        <v/>
      </c>
      <c r="J249" s="2" t="str">
        <f>IF('H.W&amp;S.W&amp;Services'!E263=0,"",'H.W&amp;S.W&amp;Services'!E263)</f>
        <v/>
      </c>
    </row>
    <row r="250" spans="1:10" x14ac:dyDescent="0.2">
      <c r="A250" s="2" t="str">
        <f t="shared" ca="1" si="4"/>
        <v/>
      </c>
      <c r="B250" s="2" t="str">
        <f>IF('H.W&amp;S.W&amp;Services'!C264=0,"",'H.W&amp;S.W&amp;Services'!C264)</f>
        <v/>
      </c>
      <c r="C250" s="2" t="str">
        <f>IF('H.W&amp;S.W&amp;Services'!C264=0,"",'H.W&amp;S.W&amp;Services'!C264)</f>
        <v/>
      </c>
      <c r="D250" s="2" t="str">
        <f>IF('H.W&amp;S.W&amp;Services'!H264=0,"",'H.W&amp;S.W&amp;Services'!H264)</f>
        <v/>
      </c>
      <c r="E250" s="2" t="str">
        <f>IF('H.W&amp;S.W&amp;Services'!I264=0,"",'H.W&amp;S.W&amp;Services'!I264)</f>
        <v/>
      </c>
      <c r="F250" s="3" t="str">
        <f>IF('H.W&amp;S.W&amp;Services'!J264=0,"",'H.W&amp;S.W&amp;Services'!J264)</f>
        <v/>
      </c>
      <c r="G250" s="4" t="str">
        <f>IF('H.W&amp;S.W&amp;Services'!O264=0,"",'H.W&amp;S.W&amp;Services'!O264)</f>
        <v/>
      </c>
      <c r="H250" s="2" t="str">
        <f>IF('H.W&amp;S.W&amp;Services'!B264=0,"",'H.W&amp;S.W&amp;Services'!B264) &amp; IF('H.W&amp;S.W&amp;Services'!F264=0,""," / "&amp;'H.W&amp;S.W&amp;Services'!F264) &amp; IF('H.W&amp;S.W&amp;Services'!G264=0,""," / "&amp;'H.W&amp;S.W&amp;Services'!G264)</f>
        <v/>
      </c>
      <c r="I250" t="str">
        <f>IF('H.W&amp;S.W&amp;Services'!D264=0,"",'H.W&amp;S.W&amp;Services'!D264)</f>
        <v/>
      </c>
      <c r="J250" s="2" t="str">
        <f>IF('H.W&amp;S.W&amp;Services'!E264=0,"",'H.W&amp;S.W&amp;Services'!E264)</f>
        <v/>
      </c>
    </row>
    <row r="251" spans="1:10" x14ac:dyDescent="0.2">
      <c r="A251" s="2" t="str">
        <f t="shared" ca="1" si="4"/>
        <v/>
      </c>
      <c r="B251" s="2" t="str">
        <f>IF('H.W&amp;S.W&amp;Services'!C265=0,"",'H.W&amp;S.W&amp;Services'!C265)</f>
        <v/>
      </c>
      <c r="C251" s="2" t="str">
        <f>IF('H.W&amp;S.W&amp;Services'!C265=0,"",'H.W&amp;S.W&amp;Services'!C265)</f>
        <v/>
      </c>
      <c r="D251" s="2" t="str">
        <f>IF('H.W&amp;S.W&amp;Services'!H265=0,"",'H.W&amp;S.W&amp;Services'!H265)</f>
        <v/>
      </c>
      <c r="E251" s="2" t="str">
        <f>IF('H.W&amp;S.W&amp;Services'!I265=0,"",'H.W&amp;S.W&amp;Services'!I265)</f>
        <v/>
      </c>
      <c r="F251" s="3" t="str">
        <f>IF('H.W&amp;S.W&amp;Services'!J265=0,"",'H.W&amp;S.W&amp;Services'!J265)</f>
        <v/>
      </c>
      <c r="G251" s="4" t="str">
        <f>IF('H.W&amp;S.W&amp;Services'!O265=0,"",'H.W&amp;S.W&amp;Services'!O265)</f>
        <v/>
      </c>
      <c r="H251" s="2" t="str">
        <f>IF('H.W&amp;S.W&amp;Services'!B265=0,"",'H.W&amp;S.W&amp;Services'!B265) &amp; IF('H.W&amp;S.W&amp;Services'!F265=0,""," / "&amp;'H.W&amp;S.W&amp;Services'!F265) &amp; IF('H.W&amp;S.W&amp;Services'!G265=0,""," / "&amp;'H.W&amp;S.W&amp;Services'!G265)</f>
        <v/>
      </c>
      <c r="I251" t="str">
        <f>IF('H.W&amp;S.W&amp;Services'!D265=0,"",'H.W&amp;S.W&amp;Services'!D265)</f>
        <v/>
      </c>
      <c r="J251" s="2" t="str">
        <f>IF('H.W&amp;S.W&amp;Services'!E265=0,"",'H.W&amp;S.W&amp;Services'!E265)</f>
        <v/>
      </c>
    </row>
    <row r="252" spans="1:10" x14ac:dyDescent="0.2">
      <c r="A252" s="2" t="str">
        <f t="shared" ca="1" si="4"/>
        <v/>
      </c>
      <c r="B252" s="2" t="str">
        <f>IF('H.W&amp;S.W&amp;Services'!C266=0,"",'H.W&amp;S.W&amp;Services'!C266)</f>
        <v/>
      </c>
      <c r="C252" s="2" t="str">
        <f>IF('H.W&amp;S.W&amp;Services'!C266=0,"",'H.W&amp;S.W&amp;Services'!C266)</f>
        <v/>
      </c>
      <c r="D252" s="2" t="str">
        <f>IF('H.W&amp;S.W&amp;Services'!H266=0,"",'H.W&amp;S.W&amp;Services'!H266)</f>
        <v/>
      </c>
      <c r="E252" s="2" t="str">
        <f>IF('H.W&amp;S.W&amp;Services'!I266=0,"",'H.W&amp;S.W&amp;Services'!I266)</f>
        <v/>
      </c>
      <c r="F252" s="3" t="str">
        <f>IF('H.W&amp;S.W&amp;Services'!J266=0,"",'H.W&amp;S.W&amp;Services'!J266)</f>
        <v/>
      </c>
      <c r="G252" s="4" t="str">
        <f>IF('H.W&amp;S.W&amp;Services'!O266=0,"",'H.W&amp;S.W&amp;Services'!O266)</f>
        <v/>
      </c>
      <c r="H252" s="2" t="str">
        <f>IF('H.W&amp;S.W&amp;Services'!B266=0,"",'H.W&amp;S.W&amp;Services'!B266) &amp; IF('H.W&amp;S.W&amp;Services'!F266=0,""," / "&amp;'H.W&amp;S.W&amp;Services'!F266) &amp; IF('H.W&amp;S.W&amp;Services'!G266=0,""," / "&amp;'H.W&amp;S.W&amp;Services'!G266)</f>
        <v/>
      </c>
      <c r="I252" t="str">
        <f>IF('H.W&amp;S.W&amp;Services'!D266=0,"",'H.W&amp;S.W&amp;Services'!D266)</f>
        <v/>
      </c>
      <c r="J252" s="2" t="str">
        <f>IF('H.W&amp;S.W&amp;Services'!E266=0,"",'H.W&amp;S.W&amp;Services'!E266)</f>
        <v/>
      </c>
    </row>
    <row r="253" spans="1:10" x14ac:dyDescent="0.2">
      <c r="A253" s="2" t="str">
        <f t="shared" ca="1" si="4"/>
        <v/>
      </c>
      <c r="B253" s="2" t="str">
        <f>IF('H.W&amp;S.W&amp;Services'!C267=0,"",'H.W&amp;S.W&amp;Services'!C267)</f>
        <v/>
      </c>
      <c r="C253" s="2" t="str">
        <f>IF('H.W&amp;S.W&amp;Services'!C267=0,"",'H.W&amp;S.W&amp;Services'!C267)</f>
        <v/>
      </c>
      <c r="D253" s="2" t="str">
        <f>IF('H.W&amp;S.W&amp;Services'!H267=0,"",'H.W&amp;S.W&amp;Services'!H267)</f>
        <v/>
      </c>
      <c r="E253" s="2" t="str">
        <f>IF('H.W&amp;S.W&amp;Services'!I267=0,"",'H.W&amp;S.W&amp;Services'!I267)</f>
        <v/>
      </c>
      <c r="F253" s="3" t="str">
        <f>IF('H.W&amp;S.W&amp;Services'!J267=0,"",'H.W&amp;S.W&amp;Services'!J267)</f>
        <v/>
      </c>
      <c r="G253" s="4" t="str">
        <f>IF('H.W&amp;S.W&amp;Services'!O267=0,"",'H.W&amp;S.W&amp;Services'!O267)</f>
        <v/>
      </c>
      <c r="H253" s="2" t="str">
        <f>IF('H.W&amp;S.W&amp;Services'!B267=0,"",'H.W&amp;S.W&amp;Services'!B267) &amp; IF('H.W&amp;S.W&amp;Services'!F267=0,""," / "&amp;'H.W&amp;S.W&amp;Services'!F267) &amp; IF('H.W&amp;S.W&amp;Services'!G267=0,""," / "&amp;'H.W&amp;S.W&amp;Services'!G267)</f>
        <v/>
      </c>
      <c r="I253" t="str">
        <f>IF('H.W&amp;S.W&amp;Services'!D267=0,"",'H.W&amp;S.W&amp;Services'!D267)</f>
        <v/>
      </c>
      <c r="J253" s="2" t="str">
        <f>IF('H.W&amp;S.W&amp;Services'!E267=0,"",'H.W&amp;S.W&amp;Services'!E267)</f>
        <v/>
      </c>
    </row>
    <row r="254" spans="1:10" x14ac:dyDescent="0.2">
      <c r="A254" s="2" t="str">
        <f t="shared" ca="1" si="4"/>
        <v/>
      </c>
      <c r="B254" s="2" t="str">
        <f>IF('H.W&amp;S.W&amp;Services'!C268=0,"",'H.W&amp;S.W&amp;Services'!C268)</f>
        <v/>
      </c>
      <c r="C254" s="2" t="str">
        <f>IF('H.W&amp;S.W&amp;Services'!C268=0,"",'H.W&amp;S.W&amp;Services'!C268)</f>
        <v/>
      </c>
      <c r="D254" s="2" t="str">
        <f>IF('H.W&amp;S.W&amp;Services'!H268=0,"",'H.W&amp;S.W&amp;Services'!H268)</f>
        <v/>
      </c>
      <c r="E254" s="2" t="str">
        <f>IF('H.W&amp;S.W&amp;Services'!I268=0,"",'H.W&amp;S.W&amp;Services'!I268)</f>
        <v/>
      </c>
      <c r="F254" s="3" t="str">
        <f>IF('H.W&amp;S.W&amp;Services'!J268=0,"",'H.W&amp;S.W&amp;Services'!J268)</f>
        <v/>
      </c>
      <c r="G254" s="4" t="str">
        <f>IF('H.W&amp;S.W&amp;Services'!O268=0,"",'H.W&amp;S.W&amp;Services'!O268)</f>
        <v/>
      </c>
      <c r="H254" s="2" t="str">
        <f>IF('H.W&amp;S.W&amp;Services'!B268=0,"",'H.W&amp;S.W&amp;Services'!B268) &amp; IF('H.W&amp;S.W&amp;Services'!F268=0,""," / "&amp;'H.W&amp;S.W&amp;Services'!F268) &amp; IF('H.W&amp;S.W&amp;Services'!G268=0,""," / "&amp;'H.W&amp;S.W&amp;Services'!G268)</f>
        <v/>
      </c>
      <c r="I254" t="str">
        <f>IF('H.W&amp;S.W&amp;Services'!D268=0,"",'H.W&amp;S.W&amp;Services'!D268)</f>
        <v/>
      </c>
      <c r="J254" s="2" t="str">
        <f>IF('H.W&amp;S.W&amp;Services'!E268=0,"",'H.W&amp;S.W&amp;Services'!E268)</f>
        <v/>
      </c>
    </row>
    <row r="255" spans="1:10" x14ac:dyDescent="0.2">
      <c r="A255" s="2" t="str">
        <f t="shared" ca="1" si="4"/>
        <v/>
      </c>
      <c r="B255" s="2" t="str">
        <f>IF('H.W&amp;S.W&amp;Services'!C269=0,"",'H.W&amp;S.W&amp;Services'!C269)</f>
        <v/>
      </c>
      <c r="C255" s="2" t="str">
        <f>IF('H.W&amp;S.W&amp;Services'!C269=0,"",'H.W&amp;S.W&amp;Services'!C269)</f>
        <v/>
      </c>
      <c r="D255" s="2" t="str">
        <f>IF('H.W&amp;S.W&amp;Services'!H269=0,"",'H.W&amp;S.W&amp;Services'!H269)</f>
        <v/>
      </c>
      <c r="E255" s="2" t="str">
        <f>IF('H.W&amp;S.W&amp;Services'!I269=0,"",'H.W&amp;S.W&amp;Services'!I269)</f>
        <v/>
      </c>
      <c r="F255" s="3" t="str">
        <f>IF('H.W&amp;S.W&amp;Services'!J269=0,"",'H.W&amp;S.W&amp;Services'!J269)</f>
        <v/>
      </c>
      <c r="G255" s="4" t="str">
        <f>IF('H.W&amp;S.W&amp;Services'!O269=0,"",'H.W&amp;S.W&amp;Services'!O269)</f>
        <v/>
      </c>
      <c r="H255" s="2" t="str">
        <f>IF('H.W&amp;S.W&amp;Services'!B269=0,"",'H.W&amp;S.W&amp;Services'!B269) &amp; IF('H.W&amp;S.W&amp;Services'!F269=0,""," / "&amp;'H.W&amp;S.W&amp;Services'!F269) &amp; IF('H.W&amp;S.W&amp;Services'!G269=0,""," / "&amp;'H.W&amp;S.W&amp;Services'!G269)</f>
        <v/>
      </c>
      <c r="I255" t="str">
        <f>IF('H.W&amp;S.W&amp;Services'!D269=0,"",'H.W&amp;S.W&amp;Services'!D269)</f>
        <v/>
      </c>
      <c r="J255" s="2" t="str">
        <f>IF('H.W&amp;S.W&amp;Services'!E269=0,"",'H.W&amp;S.W&amp;Services'!E269)</f>
        <v/>
      </c>
    </row>
    <row r="256" spans="1:10" x14ac:dyDescent="0.2">
      <c r="A256" s="2" t="str">
        <f t="shared" ca="1" si="4"/>
        <v/>
      </c>
      <c r="B256" s="2" t="str">
        <f>IF('H.W&amp;S.W&amp;Services'!C270=0,"",'H.W&amp;S.W&amp;Services'!C270)</f>
        <v/>
      </c>
      <c r="C256" s="2" t="str">
        <f>IF('H.W&amp;S.W&amp;Services'!C270=0,"",'H.W&amp;S.W&amp;Services'!C270)</f>
        <v/>
      </c>
      <c r="D256" s="2" t="str">
        <f>IF('H.W&amp;S.W&amp;Services'!H270=0,"",'H.W&amp;S.W&amp;Services'!H270)</f>
        <v/>
      </c>
      <c r="E256" s="2" t="str">
        <f>IF('H.W&amp;S.W&amp;Services'!I270=0,"",'H.W&amp;S.W&amp;Services'!I270)</f>
        <v/>
      </c>
      <c r="F256" s="3" t="str">
        <f>IF('H.W&amp;S.W&amp;Services'!J270=0,"",'H.W&amp;S.W&amp;Services'!J270)</f>
        <v/>
      </c>
      <c r="G256" s="4" t="str">
        <f>IF('H.W&amp;S.W&amp;Services'!O270=0,"",'H.W&amp;S.W&amp;Services'!O270)</f>
        <v/>
      </c>
      <c r="H256" s="2" t="str">
        <f>IF('H.W&amp;S.W&amp;Services'!B270=0,"",'H.W&amp;S.W&amp;Services'!B270) &amp; IF('H.W&amp;S.W&amp;Services'!F270=0,""," / "&amp;'H.W&amp;S.W&amp;Services'!F270) &amp; IF('H.W&amp;S.W&amp;Services'!G270=0,""," / "&amp;'H.W&amp;S.W&amp;Services'!G270)</f>
        <v/>
      </c>
      <c r="I256" t="str">
        <f>IF('H.W&amp;S.W&amp;Services'!D270=0,"",'H.W&amp;S.W&amp;Services'!D270)</f>
        <v/>
      </c>
      <c r="J256" s="2" t="str">
        <f>IF('H.W&amp;S.W&amp;Services'!E270=0,"",'H.W&amp;S.W&amp;Services'!E270)</f>
        <v/>
      </c>
    </row>
    <row r="257" spans="1:10" x14ac:dyDescent="0.2">
      <c r="A257" s="2" t="str">
        <f t="shared" ca="1" si="4"/>
        <v/>
      </c>
      <c r="B257" s="2" t="str">
        <f>IF('H.W&amp;S.W&amp;Services'!C271=0,"",'H.W&amp;S.W&amp;Services'!C271)</f>
        <v/>
      </c>
      <c r="C257" s="2" t="str">
        <f>IF('H.W&amp;S.W&amp;Services'!C271=0,"",'H.W&amp;S.W&amp;Services'!C271)</f>
        <v/>
      </c>
      <c r="D257" s="2" t="str">
        <f>IF('H.W&amp;S.W&amp;Services'!H271=0,"",'H.W&amp;S.W&amp;Services'!H271)</f>
        <v/>
      </c>
      <c r="E257" s="2" t="str">
        <f>IF('H.W&amp;S.W&amp;Services'!I271=0,"",'H.W&amp;S.W&amp;Services'!I271)</f>
        <v/>
      </c>
      <c r="F257" s="3" t="str">
        <f>IF('H.W&amp;S.W&amp;Services'!J271=0,"",'H.W&amp;S.W&amp;Services'!J271)</f>
        <v/>
      </c>
      <c r="G257" s="4" t="str">
        <f>IF('H.W&amp;S.W&amp;Services'!O271=0,"",'H.W&amp;S.W&amp;Services'!O271)</f>
        <v/>
      </c>
      <c r="H257" s="2" t="str">
        <f>IF('H.W&amp;S.W&amp;Services'!B271=0,"",'H.W&amp;S.W&amp;Services'!B271) &amp; IF('H.W&amp;S.W&amp;Services'!F271=0,""," / "&amp;'H.W&amp;S.W&amp;Services'!F271) &amp; IF('H.W&amp;S.W&amp;Services'!G271=0,""," / "&amp;'H.W&amp;S.W&amp;Services'!G271)</f>
        <v/>
      </c>
      <c r="I257" t="str">
        <f>IF('H.W&amp;S.W&amp;Services'!D271=0,"",'H.W&amp;S.W&amp;Services'!D271)</f>
        <v/>
      </c>
      <c r="J257" s="2" t="str">
        <f>IF('H.W&amp;S.W&amp;Services'!E271=0,"",'H.W&amp;S.W&amp;Services'!E271)</f>
        <v/>
      </c>
    </row>
    <row r="258" spans="1:10" x14ac:dyDescent="0.2">
      <c r="A258" s="2" t="str">
        <f t="shared" ca="1" si="4"/>
        <v/>
      </c>
      <c r="B258" s="2" t="str">
        <f>IF('H.W&amp;S.W&amp;Services'!C272=0,"",'H.W&amp;S.W&amp;Services'!C272)</f>
        <v/>
      </c>
      <c r="C258" s="2" t="str">
        <f>IF('H.W&amp;S.W&amp;Services'!C272=0,"",'H.W&amp;S.W&amp;Services'!C272)</f>
        <v/>
      </c>
      <c r="D258" s="2" t="str">
        <f>IF('H.W&amp;S.W&amp;Services'!H272=0,"",'H.W&amp;S.W&amp;Services'!H272)</f>
        <v/>
      </c>
      <c r="E258" s="2" t="str">
        <f>IF('H.W&amp;S.W&amp;Services'!I272=0,"",'H.W&amp;S.W&amp;Services'!I272)</f>
        <v/>
      </c>
      <c r="F258" s="3" t="str">
        <f>IF('H.W&amp;S.W&amp;Services'!J272=0,"",'H.W&amp;S.W&amp;Services'!J272)</f>
        <v/>
      </c>
      <c r="G258" s="4" t="str">
        <f>IF('H.W&amp;S.W&amp;Services'!O272=0,"",'H.W&amp;S.W&amp;Services'!O272)</f>
        <v/>
      </c>
      <c r="H258" s="2" t="str">
        <f>IF('H.W&amp;S.W&amp;Services'!B272=0,"",'H.W&amp;S.W&amp;Services'!B272) &amp; IF('H.W&amp;S.W&amp;Services'!F272=0,""," / "&amp;'H.W&amp;S.W&amp;Services'!F272) &amp; IF('H.W&amp;S.W&amp;Services'!G272=0,""," / "&amp;'H.W&amp;S.W&amp;Services'!G272)</f>
        <v/>
      </c>
      <c r="I258" t="str">
        <f>IF('H.W&amp;S.W&amp;Services'!D272=0,"",'H.W&amp;S.W&amp;Services'!D272)</f>
        <v/>
      </c>
      <c r="J258" s="2" t="str">
        <f>IF('H.W&amp;S.W&amp;Services'!E272=0,"",'H.W&amp;S.W&amp;Services'!E272)</f>
        <v/>
      </c>
    </row>
    <row r="259" spans="1:10" x14ac:dyDescent="0.2">
      <c r="A259" s="2" t="str">
        <f t="shared" ca="1" si="4"/>
        <v/>
      </c>
      <c r="B259" s="2" t="str">
        <f>IF('H.W&amp;S.W&amp;Services'!C273=0,"",'H.W&amp;S.W&amp;Services'!C273)</f>
        <v/>
      </c>
      <c r="C259" s="2" t="str">
        <f>IF('H.W&amp;S.W&amp;Services'!C273=0,"",'H.W&amp;S.W&amp;Services'!C273)</f>
        <v/>
      </c>
      <c r="D259" s="2" t="str">
        <f>IF('H.W&amp;S.W&amp;Services'!H273=0,"",'H.W&amp;S.W&amp;Services'!H273)</f>
        <v/>
      </c>
      <c r="E259" s="2" t="str">
        <f>IF('H.W&amp;S.W&amp;Services'!I273=0,"",'H.W&amp;S.W&amp;Services'!I273)</f>
        <v/>
      </c>
      <c r="F259" s="3" t="str">
        <f>IF('H.W&amp;S.W&amp;Services'!J273=0,"",'H.W&amp;S.W&amp;Services'!J273)</f>
        <v/>
      </c>
      <c r="G259" s="4" t="str">
        <f>IF('H.W&amp;S.W&amp;Services'!O273=0,"",'H.W&amp;S.W&amp;Services'!O273)</f>
        <v/>
      </c>
      <c r="H259" s="2" t="str">
        <f>IF('H.W&amp;S.W&amp;Services'!B273=0,"",'H.W&amp;S.W&amp;Services'!B273) &amp; IF('H.W&amp;S.W&amp;Services'!F273=0,""," / "&amp;'H.W&amp;S.W&amp;Services'!F273) &amp; IF('H.W&amp;S.W&amp;Services'!G273=0,""," / "&amp;'H.W&amp;S.W&amp;Services'!G273)</f>
        <v/>
      </c>
      <c r="I259" t="str">
        <f>IF('H.W&amp;S.W&amp;Services'!D273=0,"",'H.W&amp;S.W&amp;Services'!D273)</f>
        <v/>
      </c>
      <c r="J259" s="2" t="str">
        <f>IF('H.W&amp;S.W&amp;Services'!E273=0,"",'H.W&amp;S.W&amp;Services'!E273)</f>
        <v/>
      </c>
    </row>
    <row r="260" spans="1:10" x14ac:dyDescent="0.2">
      <c r="A260" s="2" t="str">
        <f t="shared" ca="1" si="4"/>
        <v/>
      </c>
      <c r="B260" s="2" t="str">
        <f>IF('H.W&amp;S.W&amp;Services'!C274=0,"",'H.W&amp;S.W&amp;Services'!C274)</f>
        <v/>
      </c>
      <c r="C260" s="2" t="str">
        <f>IF('H.W&amp;S.W&amp;Services'!C274=0,"",'H.W&amp;S.W&amp;Services'!C274)</f>
        <v/>
      </c>
      <c r="D260" s="2" t="str">
        <f>IF('H.W&amp;S.W&amp;Services'!H274=0,"",'H.W&amp;S.W&amp;Services'!H274)</f>
        <v/>
      </c>
      <c r="E260" s="2" t="str">
        <f>IF('H.W&amp;S.W&amp;Services'!I274=0,"",'H.W&amp;S.W&amp;Services'!I274)</f>
        <v/>
      </c>
      <c r="F260" s="3" t="str">
        <f>IF('H.W&amp;S.W&amp;Services'!J274=0,"",'H.W&amp;S.W&amp;Services'!J274)</f>
        <v/>
      </c>
      <c r="G260" s="4" t="str">
        <f>IF('H.W&amp;S.W&amp;Services'!O274=0,"",'H.W&amp;S.W&amp;Services'!O274)</f>
        <v/>
      </c>
      <c r="H260" s="2" t="str">
        <f>IF('H.W&amp;S.W&amp;Services'!B274=0,"",'H.W&amp;S.W&amp;Services'!B274) &amp; IF('H.W&amp;S.W&amp;Services'!F274=0,""," / "&amp;'H.W&amp;S.W&amp;Services'!F274) &amp; IF('H.W&amp;S.W&amp;Services'!G274=0,""," / "&amp;'H.W&amp;S.W&amp;Services'!G274)</f>
        <v/>
      </c>
      <c r="I260" t="str">
        <f>IF('H.W&amp;S.W&amp;Services'!D274=0,"",'H.W&amp;S.W&amp;Services'!D274)</f>
        <v/>
      </c>
      <c r="J260" s="2" t="str">
        <f>IF('H.W&amp;S.W&amp;Services'!E274=0,"",'H.W&amp;S.W&amp;Services'!E274)</f>
        <v/>
      </c>
    </row>
    <row r="261" spans="1:10" x14ac:dyDescent="0.2">
      <c r="A261" s="2" t="str">
        <f t="shared" ca="1" si="4"/>
        <v/>
      </c>
      <c r="B261" s="2" t="str">
        <f>IF('H.W&amp;S.W&amp;Services'!C275=0,"",'H.W&amp;S.W&amp;Services'!C275)</f>
        <v/>
      </c>
      <c r="C261" s="2" t="str">
        <f>IF('H.W&amp;S.W&amp;Services'!C275=0,"",'H.W&amp;S.W&amp;Services'!C275)</f>
        <v/>
      </c>
      <c r="D261" s="2" t="str">
        <f>IF('H.W&amp;S.W&amp;Services'!H275=0,"",'H.W&amp;S.W&amp;Services'!H275)</f>
        <v/>
      </c>
      <c r="E261" s="2" t="str">
        <f>IF('H.W&amp;S.W&amp;Services'!I275=0,"",'H.W&amp;S.W&amp;Services'!I275)</f>
        <v/>
      </c>
      <c r="F261" s="3" t="str">
        <f>IF('H.W&amp;S.W&amp;Services'!J275=0,"",'H.W&amp;S.W&amp;Services'!J275)</f>
        <v/>
      </c>
      <c r="G261" s="4" t="str">
        <f>IF('H.W&amp;S.W&amp;Services'!O275=0,"",'H.W&amp;S.W&amp;Services'!O275)</f>
        <v/>
      </c>
      <c r="H261" s="2" t="str">
        <f>IF('H.W&amp;S.W&amp;Services'!B275=0,"",'H.W&amp;S.W&amp;Services'!B275) &amp; IF('H.W&amp;S.W&amp;Services'!F275=0,""," / "&amp;'H.W&amp;S.W&amp;Services'!F275) &amp; IF('H.W&amp;S.W&amp;Services'!G275=0,""," / "&amp;'H.W&amp;S.W&amp;Services'!G275)</f>
        <v/>
      </c>
      <c r="I261" t="str">
        <f>IF('H.W&amp;S.W&amp;Services'!D275=0,"",'H.W&amp;S.W&amp;Services'!D275)</f>
        <v/>
      </c>
      <c r="J261" s="2" t="str">
        <f>IF('H.W&amp;S.W&amp;Services'!E275=0,"",'H.W&amp;S.W&amp;Services'!E275)</f>
        <v/>
      </c>
    </row>
    <row r="262" spans="1:10" x14ac:dyDescent="0.2">
      <c r="A262" s="2" t="str">
        <f t="shared" ca="1" si="4"/>
        <v/>
      </c>
      <c r="B262" s="2" t="str">
        <f>IF('H.W&amp;S.W&amp;Services'!C276=0,"",'H.W&amp;S.W&amp;Services'!C276)</f>
        <v/>
      </c>
      <c r="C262" s="2" t="str">
        <f>IF('H.W&amp;S.W&amp;Services'!C276=0,"",'H.W&amp;S.W&amp;Services'!C276)</f>
        <v/>
      </c>
      <c r="D262" s="2" t="str">
        <f>IF('H.W&amp;S.W&amp;Services'!H276=0,"",'H.W&amp;S.W&amp;Services'!H276)</f>
        <v/>
      </c>
      <c r="E262" s="2" t="str">
        <f>IF('H.W&amp;S.W&amp;Services'!I276=0,"",'H.W&amp;S.W&amp;Services'!I276)</f>
        <v/>
      </c>
      <c r="F262" s="3" t="str">
        <f>IF('H.W&amp;S.W&amp;Services'!J276=0,"",'H.W&amp;S.W&amp;Services'!J276)</f>
        <v/>
      </c>
      <c r="G262" s="4" t="str">
        <f>IF('H.W&amp;S.W&amp;Services'!O276=0,"",'H.W&amp;S.W&amp;Services'!O276)</f>
        <v/>
      </c>
      <c r="H262" s="2" t="str">
        <f>IF('H.W&amp;S.W&amp;Services'!B276=0,"",'H.W&amp;S.W&amp;Services'!B276) &amp; IF('H.W&amp;S.W&amp;Services'!F276=0,""," / "&amp;'H.W&amp;S.W&amp;Services'!F276) &amp; IF('H.W&amp;S.W&amp;Services'!G276=0,""," / "&amp;'H.W&amp;S.W&amp;Services'!G276)</f>
        <v/>
      </c>
      <c r="I262" t="str">
        <f>IF('H.W&amp;S.W&amp;Services'!D276=0,"",'H.W&amp;S.W&amp;Services'!D276)</f>
        <v/>
      </c>
      <c r="J262" s="2" t="str">
        <f>IF('H.W&amp;S.W&amp;Services'!E276=0,"",'H.W&amp;S.W&amp;Services'!E276)</f>
        <v/>
      </c>
    </row>
    <row r="263" spans="1:10" x14ac:dyDescent="0.2">
      <c r="A263" s="2" t="str">
        <f t="shared" ca="1" si="4"/>
        <v/>
      </c>
      <c r="B263" s="2" t="str">
        <f>IF('H.W&amp;S.W&amp;Services'!C277=0,"",'H.W&amp;S.W&amp;Services'!C277)</f>
        <v/>
      </c>
      <c r="C263" s="2" t="str">
        <f>IF('H.W&amp;S.W&amp;Services'!C277=0,"",'H.W&amp;S.W&amp;Services'!C277)</f>
        <v/>
      </c>
      <c r="D263" s="2" t="str">
        <f>IF('H.W&amp;S.W&amp;Services'!H277=0,"",'H.W&amp;S.W&amp;Services'!H277)</f>
        <v/>
      </c>
      <c r="E263" s="2" t="str">
        <f>IF('H.W&amp;S.W&amp;Services'!I277=0,"",'H.W&amp;S.W&amp;Services'!I277)</f>
        <v/>
      </c>
      <c r="F263" s="3" t="str">
        <f>IF('H.W&amp;S.W&amp;Services'!J277=0,"",'H.W&amp;S.W&amp;Services'!J277)</f>
        <v/>
      </c>
      <c r="G263" s="4" t="str">
        <f>IF('H.W&amp;S.W&amp;Services'!O277=0,"",'H.W&amp;S.W&amp;Services'!O277)</f>
        <v/>
      </c>
      <c r="H263" s="2" t="str">
        <f>IF('H.W&amp;S.W&amp;Services'!B277=0,"",'H.W&amp;S.W&amp;Services'!B277) &amp; IF('H.W&amp;S.W&amp;Services'!F277=0,""," / "&amp;'H.W&amp;S.W&amp;Services'!F277) &amp; IF('H.W&amp;S.W&amp;Services'!G277=0,""," / "&amp;'H.W&amp;S.W&amp;Services'!G277)</f>
        <v/>
      </c>
      <c r="I263" t="str">
        <f>IF('H.W&amp;S.W&amp;Services'!D277=0,"",'H.W&amp;S.W&amp;Services'!D277)</f>
        <v/>
      </c>
      <c r="J263" s="2" t="str">
        <f>IF('H.W&amp;S.W&amp;Services'!E277=0,"",'H.W&amp;S.W&amp;Services'!E277)</f>
        <v/>
      </c>
    </row>
    <row r="264" spans="1:10" x14ac:dyDescent="0.2">
      <c r="A264" s="2" t="str">
        <f t="shared" ca="1" si="4"/>
        <v/>
      </c>
      <c r="B264" s="2" t="str">
        <f>IF('H.W&amp;S.W&amp;Services'!C278=0,"",'H.W&amp;S.W&amp;Services'!C278)</f>
        <v/>
      </c>
      <c r="C264" s="2" t="str">
        <f>IF('H.W&amp;S.W&amp;Services'!C278=0,"",'H.W&amp;S.W&amp;Services'!C278)</f>
        <v/>
      </c>
      <c r="D264" s="2" t="str">
        <f>IF('H.W&amp;S.W&amp;Services'!H278=0,"",'H.W&amp;S.W&amp;Services'!H278)</f>
        <v/>
      </c>
      <c r="E264" s="2" t="str">
        <f>IF('H.W&amp;S.W&amp;Services'!I278=0,"",'H.W&amp;S.W&amp;Services'!I278)</f>
        <v/>
      </c>
      <c r="F264" s="3" t="str">
        <f>IF('H.W&amp;S.W&amp;Services'!J278=0,"",'H.W&amp;S.W&amp;Services'!J278)</f>
        <v/>
      </c>
      <c r="G264" s="4" t="str">
        <f>IF('H.W&amp;S.W&amp;Services'!O278=0,"",'H.W&amp;S.W&amp;Services'!O278)</f>
        <v/>
      </c>
      <c r="H264" s="2" t="str">
        <f>IF('H.W&amp;S.W&amp;Services'!B278=0,"",'H.W&amp;S.W&amp;Services'!B278) &amp; IF('H.W&amp;S.W&amp;Services'!F278=0,""," / "&amp;'H.W&amp;S.W&amp;Services'!F278) &amp; IF('H.W&amp;S.W&amp;Services'!G278=0,""," / "&amp;'H.W&amp;S.W&amp;Services'!G278)</f>
        <v/>
      </c>
      <c r="I264" t="str">
        <f>IF('H.W&amp;S.W&amp;Services'!D278=0,"",'H.W&amp;S.W&amp;Services'!D278)</f>
        <v/>
      </c>
      <c r="J264" s="2" t="str">
        <f>IF('H.W&amp;S.W&amp;Services'!E278=0,"",'H.W&amp;S.W&amp;Services'!E278)</f>
        <v/>
      </c>
    </row>
    <row r="265" spans="1:10" x14ac:dyDescent="0.2">
      <c r="A265" s="2" t="str">
        <f t="shared" ref="A265:A328" ca="1" si="5">IF(C265="","",RANDBETWEEN(1,10000000000)&amp;B265&amp;LEFT(D265,10))</f>
        <v/>
      </c>
      <c r="B265" s="2" t="str">
        <f>IF('H.W&amp;S.W&amp;Services'!C279=0,"",'H.W&amp;S.W&amp;Services'!C279)</f>
        <v/>
      </c>
      <c r="C265" s="2" t="str">
        <f>IF('H.W&amp;S.W&amp;Services'!C279=0,"",'H.W&amp;S.W&amp;Services'!C279)</f>
        <v/>
      </c>
      <c r="D265" s="2" t="str">
        <f>IF('H.W&amp;S.W&amp;Services'!H279=0,"",'H.W&amp;S.W&amp;Services'!H279)</f>
        <v/>
      </c>
      <c r="E265" s="2" t="str">
        <f>IF('H.W&amp;S.W&amp;Services'!I279=0,"",'H.W&amp;S.W&amp;Services'!I279)</f>
        <v/>
      </c>
      <c r="F265" s="3" t="str">
        <f>IF('H.W&amp;S.W&amp;Services'!J279=0,"",'H.W&amp;S.W&amp;Services'!J279)</f>
        <v/>
      </c>
      <c r="G265" s="4" t="str">
        <f>IF('H.W&amp;S.W&amp;Services'!O279=0,"",'H.W&amp;S.W&amp;Services'!O279)</f>
        <v/>
      </c>
      <c r="H265" s="2" t="str">
        <f>IF('H.W&amp;S.W&amp;Services'!B279=0,"",'H.W&amp;S.W&amp;Services'!B279) &amp; IF('H.W&amp;S.W&amp;Services'!F279=0,""," / "&amp;'H.W&amp;S.W&amp;Services'!F279) &amp; IF('H.W&amp;S.W&amp;Services'!G279=0,""," / "&amp;'H.W&amp;S.W&amp;Services'!G279)</f>
        <v/>
      </c>
      <c r="I265" t="str">
        <f>IF('H.W&amp;S.W&amp;Services'!D279=0,"",'H.W&amp;S.W&amp;Services'!D279)</f>
        <v/>
      </c>
      <c r="J265" s="2" t="str">
        <f>IF('H.W&amp;S.W&amp;Services'!E279=0,"",'H.W&amp;S.W&amp;Services'!E279)</f>
        <v/>
      </c>
    </row>
    <row r="266" spans="1:10" x14ac:dyDescent="0.2">
      <c r="A266" s="2" t="str">
        <f t="shared" ca="1" si="5"/>
        <v/>
      </c>
      <c r="B266" s="2" t="str">
        <f>IF('H.W&amp;S.W&amp;Services'!C280=0,"",'H.W&amp;S.W&amp;Services'!C280)</f>
        <v/>
      </c>
      <c r="C266" s="2" t="str">
        <f>IF('H.W&amp;S.W&amp;Services'!C280=0,"",'H.W&amp;S.W&amp;Services'!C280)</f>
        <v/>
      </c>
      <c r="D266" s="2" t="str">
        <f>IF('H.W&amp;S.W&amp;Services'!H280=0,"",'H.W&amp;S.W&amp;Services'!H280)</f>
        <v/>
      </c>
      <c r="E266" s="2" t="str">
        <f>IF('H.W&amp;S.W&amp;Services'!I280=0,"",'H.W&amp;S.W&amp;Services'!I280)</f>
        <v/>
      </c>
      <c r="F266" s="3" t="str">
        <f>IF('H.W&amp;S.W&amp;Services'!J280=0,"",'H.W&amp;S.W&amp;Services'!J280)</f>
        <v/>
      </c>
      <c r="G266" s="4" t="str">
        <f>IF('H.W&amp;S.W&amp;Services'!O280=0,"",'H.W&amp;S.W&amp;Services'!O280)</f>
        <v/>
      </c>
      <c r="H266" s="2" t="str">
        <f>IF('H.W&amp;S.W&amp;Services'!B280=0,"",'H.W&amp;S.W&amp;Services'!B280) &amp; IF('H.W&amp;S.W&amp;Services'!F280=0,""," / "&amp;'H.W&amp;S.W&amp;Services'!F280) &amp; IF('H.W&amp;S.W&amp;Services'!G280=0,""," / "&amp;'H.W&amp;S.W&amp;Services'!G280)</f>
        <v/>
      </c>
      <c r="I266" t="str">
        <f>IF('H.W&amp;S.W&amp;Services'!D280=0,"",'H.W&amp;S.W&amp;Services'!D280)</f>
        <v/>
      </c>
      <c r="J266" s="2" t="str">
        <f>IF('H.W&amp;S.W&amp;Services'!E280=0,"",'H.W&amp;S.W&amp;Services'!E280)</f>
        <v/>
      </c>
    </row>
    <row r="267" spans="1:10" x14ac:dyDescent="0.2">
      <c r="A267" s="2" t="str">
        <f t="shared" ca="1" si="5"/>
        <v/>
      </c>
      <c r="B267" s="2" t="str">
        <f>IF('H.W&amp;S.W&amp;Services'!C281=0,"",'H.W&amp;S.W&amp;Services'!C281)</f>
        <v/>
      </c>
      <c r="C267" s="2" t="str">
        <f>IF('H.W&amp;S.W&amp;Services'!C281=0,"",'H.W&amp;S.W&amp;Services'!C281)</f>
        <v/>
      </c>
      <c r="D267" s="2" t="str">
        <f>IF('H.W&amp;S.W&amp;Services'!H281=0,"",'H.W&amp;S.W&amp;Services'!H281)</f>
        <v/>
      </c>
      <c r="E267" s="2" t="str">
        <f>IF('H.W&amp;S.W&amp;Services'!I281=0,"",'H.W&amp;S.W&amp;Services'!I281)</f>
        <v/>
      </c>
      <c r="F267" s="3" t="str">
        <f>IF('H.W&amp;S.W&amp;Services'!J281=0,"",'H.W&amp;S.W&amp;Services'!J281)</f>
        <v/>
      </c>
      <c r="G267" s="4" t="str">
        <f>IF('H.W&amp;S.W&amp;Services'!O281=0,"",'H.W&amp;S.W&amp;Services'!O281)</f>
        <v/>
      </c>
      <c r="H267" s="2" t="str">
        <f>IF('H.W&amp;S.W&amp;Services'!B281=0,"",'H.W&amp;S.W&amp;Services'!B281) &amp; IF('H.W&amp;S.W&amp;Services'!F281=0,""," / "&amp;'H.W&amp;S.W&amp;Services'!F281) &amp; IF('H.W&amp;S.W&amp;Services'!G281=0,""," / "&amp;'H.W&amp;S.W&amp;Services'!G281)</f>
        <v/>
      </c>
      <c r="I267" t="str">
        <f>IF('H.W&amp;S.W&amp;Services'!D281=0,"",'H.W&amp;S.W&amp;Services'!D281)</f>
        <v/>
      </c>
      <c r="J267" s="2" t="str">
        <f>IF('H.W&amp;S.W&amp;Services'!E281=0,"",'H.W&amp;S.W&amp;Services'!E281)</f>
        <v/>
      </c>
    </row>
    <row r="268" spans="1:10" x14ac:dyDescent="0.2">
      <c r="A268" s="2" t="str">
        <f t="shared" ca="1" si="5"/>
        <v/>
      </c>
      <c r="B268" s="2" t="str">
        <f>IF('H.W&amp;S.W&amp;Services'!C282=0,"",'H.W&amp;S.W&amp;Services'!C282)</f>
        <v/>
      </c>
      <c r="C268" s="2" t="str">
        <f>IF('H.W&amp;S.W&amp;Services'!C282=0,"",'H.W&amp;S.W&amp;Services'!C282)</f>
        <v/>
      </c>
      <c r="D268" s="2" t="str">
        <f>IF('H.W&amp;S.W&amp;Services'!H282=0,"",'H.W&amp;S.W&amp;Services'!H282)</f>
        <v/>
      </c>
      <c r="E268" s="2" t="str">
        <f>IF('H.W&amp;S.W&amp;Services'!I282=0,"",'H.W&amp;S.W&amp;Services'!I282)</f>
        <v/>
      </c>
      <c r="F268" s="3" t="str">
        <f>IF('H.W&amp;S.W&amp;Services'!J282=0,"",'H.W&amp;S.W&amp;Services'!J282)</f>
        <v/>
      </c>
      <c r="G268" s="4" t="str">
        <f>IF('H.W&amp;S.W&amp;Services'!O282=0,"",'H.W&amp;S.W&amp;Services'!O282)</f>
        <v/>
      </c>
      <c r="H268" s="2" t="str">
        <f>IF('H.W&amp;S.W&amp;Services'!B282=0,"",'H.W&amp;S.W&amp;Services'!B282) &amp; IF('H.W&amp;S.W&amp;Services'!F282=0,""," / "&amp;'H.W&amp;S.W&amp;Services'!F282) &amp; IF('H.W&amp;S.W&amp;Services'!G282=0,""," / "&amp;'H.W&amp;S.W&amp;Services'!G282)</f>
        <v/>
      </c>
      <c r="I268" t="str">
        <f>IF('H.W&amp;S.W&amp;Services'!D282=0,"",'H.W&amp;S.W&amp;Services'!D282)</f>
        <v/>
      </c>
      <c r="J268" s="2" t="str">
        <f>IF('H.W&amp;S.W&amp;Services'!E282=0,"",'H.W&amp;S.W&amp;Services'!E282)</f>
        <v/>
      </c>
    </row>
    <row r="269" spans="1:10" x14ac:dyDescent="0.2">
      <c r="A269" s="2" t="str">
        <f t="shared" ca="1" si="5"/>
        <v/>
      </c>
      <c r="B269" s="2" t="str">
        <f>IF('H.W&amp;S.W&amp;Services'!C283=0,"",'H.W&amp;S.W&amp;Services'!C283)</f>
        <v/>
      </c>
      <c r="C269" s="2" t="str">
        <f>IF('H.W&amp;S.W&amp;Services'!C283=0,"",'H.W&amp;S.W&amp;Services'!C283)</f>
        <v/>
      </c>
      <c r="D269" s="2" t="str">
        <f>IF('H.W&amp;S.W&amp;Services'!H283=0,"",'H.W&amp;S.W&amp;Services'!H283)</f>
        <v/>
      </c>
      <c r="E269" s="2" t="str">
        <f>IF('H.W&amp;S.W&amp;Services'!I283=0,"",'H.W&amp;S.W&amp;Services'!I283)</f>
        <v/>
      </c>
      <c r="F269" s="3" t="str">
        <f>IF('H.W&amp;S.W&amp;Services'!J283=0,"",'H.W&amp;S.W&amp;Services'!J283)</f>
        <v/>
      </c>
      <c r="G269" s="4" t="str">
        <f>IF('H.W&amp;S.W&amp;Services'!O283=0,"",'H.W&amp;S.W&amp;Services'!O283)</f>
        <v/>
      </c>
      <c r="H269" s="2" t="str">
        <f>IF('H.W&amp;S.W&amp;Services'!B283=0,"",'H.W&amp;S.W&amp;Services'!B283) &amp; IF('H.W&amp;S.W&amp;Services'!F283=0,""," / "&amp;'H.W&amp;S.W&amp;Services'!F283) &amp; IF('H.W&amp;S.W&amp;Services'!G283=0,""," / "&amp;'H.W&amp;S.W&amp;Services'!G283)</f>
        <v/>
      </c>
      <c r="I269" t="str">
        <f>IF('H.W&amp;S.W&amp;Services'!D283=0,"",'H.W&amp;S.W&amp;Services'!D283)</f>
        <v/>
      </c>
      <c r="J269" s="2" t="str">
        <f>IF('H.W&amp;S.W&amp;Services'!E283=0,"",'H.W&amp;S.W&amp;Services'!E283)</f>
        <v/>
      </c>
    </row>
    <row r="270" spans="1:10" x14ac:dyDescent="0.2">
      <c r="A270" s="2" t="str">
        <f t="shared" ca="1" si="5"/>
        <v/>
      </c>
      <c r="B270" s="2" t="str">
        <f>IF('H.W&amp;S.W&amp;Services'!C284=0,"",'H.W&amp;S.W&amp;Services'!C284)</f>
        <v/>
      </c>
      <c r="C270" s="2" t="str">
        <f>IF('H.W&amp;S.W&amp;Services'!C284=0,"",'H.W&amp;S.W&amp;Services'!C284)</f>
        <v/>
      </c>
      <c r="D270" s="2" t="str">
        <f>IF('H.W&amp;S.W&amp;Services'!H284=0,"",'H.W&amp;S.W&amp;Services'!H284)</f>
        <v/>
      </c>
      <c r="E270" s="2" t="str">
        <f>IF('H.W&amp;S.W&amp;Services'!I284=0,"",'H.W&amp;S.W&amp;Services'!I284)</f>
        <v/>
      </c>
      <c r="F270" s="3" t="str">
        <f>IF('H.W&amp;S.W&amp;Services'!J284=0,"",'H.W&amp;S.W&amp;Services'!J284)</f>
        <v/>
      </c>
      <c r="G270" s="4" t="str">
        <f>IF('H.W&amp;S.W&amp;Services'!O284=0,"",'H.W&amp;S.W&amp;Services'!O284)</f>
        <v/>
      </c>
      <c r="H270" s="2" t="str">
        <f>IF('H.W&amp;S.W&amp;Services'!B284=0,"",'H.W&amp;S.W&amp;Services'!B284) &amp; IF('H.W&amp;S.W&amp;Services'!F284=0,""," / "&amp;'H.W&amp;S.W&amp;Services'!F284) &amp; IF('H.W&amp;S.W&amp;Services'!G284=0,""," / "&amp;'H.W&amp;S.W&amp;Services'!G284)</f>
        <v/>
      </c>
      <c r="I270" t="str">
        <f>IF('H.W&amp;S.W&amp;Services'!D284=0,"",'H.W&amp;S.W&amp;Services'!D284)</f>
        <v/>
      </c>
      <c r="J270" s="2" t="str">
        <f>IF('H.W&amp;S.W&amp;Services'!E284=0,"",'H.W&amp;S.W&amp;Services'!E284)</f>
        <v/>
      </c>
    </row>
    <row r="271" spans="1:10" x14ac:dyDescent="0.2">
      <c r="A271" s="2" t="str">
        <f t="shared" ca="1" si="5"/>
        <v/>
      </c>
      <c r="B271" s="2" t="str">
        <f>IF('H.W&amp;S.W&amp;Services'!C285=0,"",'H.W&amp;S.W&amp;Services'!C285)</f>
        <v/>
      </c>
      <c r="C271" s="2" t="str">
        <f>IF('H.W&amp;S.W&amp;Services'!C285=0,"",'H.W&amp;S.W&amp;Services'!C285)</f>
        <v/>
      </c>
      <c r="D271" s="2" t="str">
        <f>IF('H.W&amp;S.W&amp;Services'!H285=0,"",'H.W&amp;S.W&amp;Services'!H285)</f>
        <v/>
      </c>
      <c r="E271" s="2" t="str">
        <f>IF('H.W&amp;S.W&amp;Services'!I285=0,"",'H.W&amp;S.W&amp;Services'!I285)</f>
        <v/>
      </c>
      <c r="F271" s="3" t="str">
        <f>IF('H.W&amp;S.W&amp;Services'!J285=0,"",'H.W&amp;S.W&amp;Services'!J285)</f>
        <v/>
      </c>
      <c r="G271" s="4" t="str">
        <f>IF('H.W&amp;S.W&amp;Services'!O285=0,"",'H.W&amp;S.W&amp;Services'!O285)</f>
        <v/>
      </c>
      <c r="H271" s="2" t="str">
        <f>IF('H.W&amp;S.W&amp;Services'!B285=0,"",'H.W&amp;S.W&amp;Services'!B285) &amp; IF('H.W&amp;S.W&amp;Services'!F285=0,""," / "&amp;'H.W&amp;S.W&amp;Services'!F285) &amp; IF('H.W&amp;S.W&amp;Services'!G285=0,""," / "&amp;'H.W&amp;S.W&amp;Services'!G285)</f>
        <v/>
      </c>
      <c r="I271" t="str">
        <f>IF('H.W&amp;S.W&amp;Services'!D285=0,"",'H.W&amp;S.W&amp;Services'!D285)</f>
        <v/>
      </c>
      <c r="J271" s="2" t="str">
        <f>IF('H.W&amp;S.W&amp;Services'!E285=0,"",'H.W&amp;S.W&amp;Services'!E285)</f>
        <v/>
      </c>
    </row>
    <row r="272" spans="1:10" x14ac:dyDescent="0.2">
      <c r="A272" s="2" t="str">
        <f t="shared" ca="1" si="5"/>
        <v/>
      </c>
      <c r="B272" s="2" t="str">
        <f>IF('H.W&amp;S.W&amp;Services'!C286=0,"",'H.W&amp;S.W&amp;Services'!C286)</f>
        <v/>
      </c>
      <c r="C272" s="2" t="str">
        <f>IF('H.W&amp;S.W&amp;Services'!C286=0,"",'H.W&amp;S.W&amp;Services'!C286)</f>
        <v/>
      </c>
      <c r="D272" s="2" t="str">
        <f>IF('H.W&amp;S.W&amp;Services'!H286=0,"",'H.W&amp;S.W&amp;Services'!H286)</f>
        <v/>
      </c>
      <c r="E272" s="2" t="str">
        <f>IF('H.W&amp;S.W&amp;Services'!I286=0,"",'H.W&amp;S.W&amp;Services'!I286)</f>
        <v/>
      </c>
      <c r="F272" s="3" t="str">
        <f>IF('H.W&amp;S.W&amp;Services'!J286=0,"",'H.W&amp;S.W&amp;Services'!J286)</f>
        <v/>
      </c>
      <c r="G272" s="4" t="str">
        <f>IF('H.W&amp;S.W&amp;Services'!O286=0,"",'H.W&amp;S.W&amp;Services'!O286)</f>
        <v/>
      </c>
      <c r="H272" s="2" t="str">
        <f>IF('H.W&amp;S.W&amp;Services'!B286=0,"",'H.W&amp;S.W&amp;Services'!B286) &amp; IF('H.W&amp;S.W&amp;Services'!F286=0,""," / "&amp;'H.W&amp;S.W&amp;Services'!F286) &amp; IF('H.W&amp;S.W&amp;Services'!G286=0,""," / "&amp;'H.W&amp;S.W&amp;Services'!G286)</f>
        <v/>
      </c>
      <c r="I272" t="str">
        <f>IF('H.W&amp;S.W&amp;Services'!D286=0,"",'H.W&amp;S.W&amp;Services'!D286)</f>
        <v/>
      </c>
      <c r="J272" s="2" t="str">
        <f>IF('H.W&amp;S.W&amp;Services'!E286=0,"",'H.W&amp;S.W&amp;Services'!E286)</f>
        <v/>
      </c>
    </row>
    <row r="273" spans="1:10" x14ac:dyDescent="0.2">
      <c r="A273" s="2" t="str">
        <f t="shared" ca="1" si="5"/>
        <v/>
      </c>
      <c r="B273" s="2" t="str">
        <f>IF('H.W&amp;S.W&amp;Services'!C287=0,"",'H.W&amp;S.W&amp;Services'!C287)</f>
        <v/>
      </c>
      <c r="C273" s="2" t="str">
        <f>IF('H.W&amp;S.W&amp;Services'!C287=0,"",'H.W&amp;S.W&amp;Services'!C287)</f>
        <v/>
      </c>
      <c r="D273" s="2" t="str">
        <f>IF('H.W&amp;S.W&amp;Services'!H287=0,"",'H.W&amp;S.W&amp;Services'!H287)</f>
        <v/>
      </c>
      <c r="E273" s="2" t="str">
        <f>IF('H.W&amp;S.W&amp;Services'!I287=0,"",'H.W&amp;S.W&amp;Services'!I287)</f>
        <v/>
      </c>
      <c r="F273" s="3" t="str">
        <f>IF('H.W&amp;S.W&amp;Services'!J287=0,"",'H.W&amp;S.W&amp;Services'!J287)</f>
        <v/>
      </c>
      <c r="G273" s="4" t="str">
        <f>IF('H.W&amp;S.W&amp;Services'!O287=0,"",'H.W&amp;S.W&amp;Services'!O287)</f>
        <v/>
      </c>
      <c r="H273" s="2" t="str">
        <f>IF('H.W&amp;S.W&amp;Services'!B287=0,"",'H.W&amp;S.W&amp;Services'!B287) &amp; IF('H.W&amp;S.W&amp;Services'!F287=0,""," / "&amp;'H.W&amp;S.W&amp;Services'!F287) &amp; IF('H.W&amp;S.W&amp;Services'!G287=0,""," / "&amp;'H.W&amp;S.W&amp;Services'!G287)</f>
        <v/>
      </c>
      <c r="I273" t="str">
        <f>IF('H.W&amp;S.W&amp;Services'!D287=0,"",'H.W&amp;S.W&amp;Services'!D287)</f>
        <v/>
      </c>
      <c r="J273" s="2" t="str">
        <f>IF('H.W&amp;S.W&amp;Services'!E287=0,"",'H.W&amp;S.W&amp;Services'!E287)</f>
        <v/>
      </c>
    </row>
    <row r="274" spans="1:10" x14ac:dyDescent="0.2">
      <c r="A274" s="2" t="str">
        <f t="shared" ca="1" si="5"/>
        <v/>
      </c>
      <c r="B274" s="2" t="str">
        <f>IF('H.W&amp;S.W&amp;Services'!C288=0,"",'H.W&amp;S.W&amp;Services'!C288)</f>
        <v/>
      </c>
      <c r="C274" s="2" t="str">
        <f>IF('H.W&amp;S.W&amp;Services'!C288=0,"",'H.W&amp;S.W&amp;Services'!C288)</f>
        <v/>
      </c>
      <c r="D274" s="2" t="str">
        <f>IF('H.W&amp;S.W&amp;Services'!H288=0,"",'H.W&amp;S.W&amp;Services'!H288)</f>
        <v/>
      </c>
      <c r="E274" s="2" t="str">
        <f>IF('H.W&amp;S.W&amp;Services'!I288=0,"",'H.W&amp;S.W&amp;Services'!I288)</f>
        <v/>
      </c>
      <c r="F274" s="3" t="str">
        <f>IF('H.W&amp;S.W&amp;Services'!J288=0,"",'H.W&amp;S.W&amp;Services'!J288)</f>
        <v/>
      </c>
      <c r="G274" s="4" t="str">
        <f>IF('H.W&amp;S.W&amp;Services'!O288=0,"",'H.W&amp;S.W&amp;Services'!O288)</f>
        <v/>
      </c>
      <c r="H274" s="2" t="str">
        <f>IF('H.W&amp;S.W&amp;Services'!B288=0,"",'H.W&amp;S.W&amp;Services'!B288) &amp; IF('H.W&amp;S.W&amp;Services'!F288=0,""," / "&amp;'H.W&amp;S.W&amp;Services'!F288) &amp; IF('H.W&amp;S.W&amp;Services'!G288=0,""," / "&amp;'H.W&amp;S.W&amp;Services'!G288)</f>
        <v/>
      </c>
      <c r="I274" t="str">
        <f>IF('H.W&amp;S.W&amp;Services'!D288=0,"",'H.W&amp;S.W&amp;Services'!D288)</f>
        <v/>
      </c>
      <c r="J274" s="2" t="str">
        <f>IF('H.W&amp;S.W&amp;Services'!E288=0,"",'H.W&amp;S.W&amp;Services'!E288)</f>
        <v/>
      </c>
    </row>
    <row r="275" spans="1:10" x14ac:dyDescent="0.2">
      <c r="A275" s="2" t="str">
        <f t="shared" ca="1" si="5"/>
        <v/>
      </c>
      <c r="B275" s="2" t="str">
        <f>IF('H.W&amp;S.W&amp;Services'!C289=0,"",'H.W&amp;S.W&amp;Services'!C289)</f>
        <v/>
      </c>
      <c r="C275" s="2" t="str">
        <f>IF('H.W&amp;S.W&amp;Services'!C289=0,"",'H.W&amp;S.W&amp;Services'!C289)</f>
        <v/>
      </c>
      <c r="D275" s="2" t="str">
        <f>IF('H.W&amp;S.W&amp;Services'!H289=0,"",'H.W&amp;S.W&amp;Services'!H289)</f>
        <v/>
      </c>
      <c r="E275" s="2" t="str">
        <f>IF('H.W&amp;S.W&amp;Services'!I289=0,"",'H.W&amp;S.W&amp;Services'!I289)</f>
        <v/>
      </c>
      <c r="F275" s="3" t="str">
        <f>IF('H.W&amp;S.W&amp;Services'!J289=0,"",'H.W&amp;S.W&amp;Services'!J289)</f>
        <v/>
      </c>
      <c r="G275" s="4" t="str">
        <f>IF('H.W&amp;S.W&amp;Services'!O289=0,"",'H.W&amp;S.W&amp;Services'!O289)</f>
        <v/>
      </c>
      <c r="H275" s="2" t="str">
        <f>IF('H.W&amp;S.W&amp;Services'!B289=0,"",'H.W&amp;S.W&amp;Services'!B289) &amp; IF('H.W&amp;S.W&amp;Services'!F289=0,""," / "&amp;'H.W&amp;S.W&amp;Services'!F289) &amp; IF('H.W&amp;S.W&amp;Services'!G289=0,""," / "&amp;'H.W&amp;S.W&amp;Services'!G289)</f>
        <v/>
      </c>
      <c r="I275" t="str">
        <f>IF('H.W&amp;S.W&amp;Services'!D289=0,"",'H.W&amp;S.W&amp;Services'!D289)</f>
        <v/>
      </c>
      <c r="J275" s="2" t="str">
        <f>IF('H.W&amp;S.W&amp;Services'!E289=0,"",'H.W&amp;S.W&amp;Services'!E289)</f>
        <v/>
      </c>
    </row>
    <row r="276" spans="1:10" x14ac:dyDescent="0.2">
      <c r="A276" s="2" t="str">
        <f t="shared" ca="1" si="5"/>
        <v/>
      </c>
      <c r="B276" s="2" t="str">
        <f>IF('H.W&amp;S.W&amp;Services'!C290=0,"",'H.W&amp;S.W&amp;Services'!C290)</f>
        <v/>
      </c>
      <c r="C276" s="2" t="str">
        <f>IF('H.W&amp;S.W&amp;Services'!C290=0,"",'H.W&amp;S.W&amp;Services'!C290)</f>
        <v/>
      </c>
      <c r="D276" s="2" t="str">
        <f>IF('H.W&amp;S.W&amp;Services'!H290=0,"",'H.W&amp;S.W&amp;Services'!H290)</f>
        <v/>
      </c>
      <c r="E276" s="2" t="str">
        <f>IF('H.W&amp;S.W&amp;Services'!I290=0,"",'H.W&amp;S.W&amp;Services'!I290)</f>
        <v/>
      </c>
      <c r="F276" s="3" t="str">
        <f>IF('H.W&amp;S.W&amp;Services'!J290=0,"",'H.W&amp;S.W&amp;Services'!J290)</f>
        <v/>
      </c>
      <c r="G276" s="4" t="str">
        <f>IF('H.W&amp;S.W&amp;Services'!O290=0,"",'H.W&amp;S.W&amp;Services'!O290)</f>
        <v/>
      </c>
      <c r="H276" s="2" t="str">
        <f>IF('H.W&amp;S.W&amp;Services'!B290=0,"",'H.W&amp;S.W&amp;Services'!B290) &amp; IF('H.W&amp;S.W&amp;Services'!F290=0,""," / "&amp;'H.W&amp;S.W&amp;Services'!F290) &amp; IF('H.W&amp;S.W&amp;Services'!G290=0,""," / "&amp;'H.W&amp;S.W&amp;Services'!G290)</f>
        <v/>
      </c>
      <c r="I276" t="str">
        <f>IF('H.W&amp;S.W&amp;Services'!D290=0,"",'H.W&amp;S.W&amp;Services'!D290)</f>
        <v/>
      </c>
      <c r="J276" s="2" t="str">
        <f>IF('H.W&amp;S.W&amp;Services'!E290=0,"",'H.W&amp;S.W&amp;Services'!E290)</f>
        <v/>
      </c>
    </row>
    <row r="277" spans="1:10" x14ac:dyDescent="0.2">
      <c r="A277" s="2" t="str">
        <f t="shared" ca="1" si="5"/>
        <v/>
      </c>
      <c r="B277" s="2" t="str">
        <f>IF('H.W&amp;S.W&amp;Services'!C291=0,"",'H.W&amp;S.W&amp;Services'!C291)</f>
        <v/>
      </c>
      <c r="C277" s="2" t="str">
        <f>IF('H.W&amp;S.W&amp;Services'!C291=0,"",'H.W&amp;S.W&amp;Services'!C291)</f>
        <v/>
      </c>
      <c r="D277" s="2" t="str">
        <f>IF('H.W&amp;S.W&amp;Services'!H291=0,"",'H.W&amp;S.W&amp;Services'!H291)</f>
        <v/>
      </c>
      <c r="E277" s="2" t="str">
        <f>IF('H.W&amp;S.W&amp;Services'!I291=0,"",'H.W&amp;S.W&amp;Services'!I291)</f>
        <v/>
      </c>
      <c r="F277" s="3" t="str">
        <f>IF('H.W&amp;S.W&amp;Services'!J291=0,"",'H.W&amp;S.W&amp;Services'!J291)</f>
        <v/>
      </c>
      <c r="G277" s="4" t="str">
        <f>IF('H.W&amp;S.W&amp;Services'!O291=0,"",'H.W&amp;S.W&amp;Services'!O291)</f>
        <v/>
      </c>
      <c r="H277" s="2" t="str">
        <f>IF('H.W&amp;S.W&amp;Services'!B291=0,"",'H.W&amp;S.W&amp;Services'!B291) &amp; IF('H.W&amp;S.W&amp;Services'!F291=0,""," / "&amp;'H.W&amp;S.W&amp;Services'!F291) &amp; IF('H.W&amp;S.W&amp;Services'!G291=0,""," / "&amp;'H.W&amp;S.W&amp;Services'!G291)</f>
        <v/>
      </c>
      <c r="I277" t="str">
        <f>IF('H.W&amp;S.W&amp;Services'!D291=0,"",'H.W&amp;S.W&amp;Services'!D291)</f>
        <v/>
      </c>
      <c r="J277" s="2" t="str">
        <f>IF('H.W&amp;S.W&amp;Services'!E291=0,"",'H.W&amp;S.W&amp;Services'!E291)</f>
        <v/>
      </c>
    </row>
    <row r="278" spans="1:10" x14ac:dyDescent="0.2">
      <c r="A278" s="2" t="str">
        <f t="shared" ca="1" si="5"/>
        <v/>
      </c>
      <c r="B278" s="2" t="str">
        <f>IF('H.W&amp;S.W&amp;Services'!C292=0,"",'H.W&amp;S.W&amp;Services'!C292)</f>
        <v/>
      </c>
      <c r="C278" s="2" t="str">
        <f>IF('H.W&amp;S.W&amp;Services'!C292=0,"",'H.W&amp;S.W&amp;Services'!C292)</f>
        <v/>
      </c>
      <c r="D278" s="2" t="str">
        <f>IF('H.W&amp;S.W&amp;Services'!H292=0,"",'H.W&amp;S.W&amp;Services'!H292)</f>
        <v/>
      </c>
      <c r="E278" s="2" t="str">
        <f>IF('H.W&amp;S.W&amp;Services'!I292=0,"",'H.W&amp;S.W&amp;Services'!I292)</f>
        <v/>
      </c>
      <c r="F278" s="3" t="str">
        <f>IF('H.W&amp;S.W&amp;Services'!J292=0,"",'H.W&amp;S.W&amp;Services'!J292)</f>
        <v/>
      </c>
      <c r="G278" s="4" t="str">
        <f>IF('H.W&amp;S.W&amp;Services'!O292=0,"",'H.W&amp;S.W&amp;Services'!O292)</f>
        <v/>
      </c>
      <c r="H278" s="2" t="str">
        <f>IF('H.W&amp;S.W&amp;Services'!B292=0,"",'H.W&amp;S.W&amp;Services'!B292) &amp; IF('H.W&amp;S.W&amp;Services'!F292=0,""," / "&amp;'H.W&amp;S.W&amp;Services'!F292) &amp; IF('H.W&amp;S.W&amp;Services'!G292=0,""," / "&amp;'H.W&amp;S.W&amp;Services'!G292)</f>
        <v/>
      </c>
      <c r="I278" t="str">
        <f>IF('H.W&amp;S.W&amp;Services'!D292=0,"",'H.W&amp;S.W&amp;Services'!D292)</f>
        <v/>
      </c>
      <c r="J278" s="2" t="str">
        <f>IF('H.W&amp;S.W&amp;Services'!E292=0,"",'H.W&amp;S.W&amp;Services'!E292)</f>
        <v/>
      </c>
    </row>
    <row r="279" spans="1:10" x14ac:dyDescent="0.2">
      <c r="A279" s="2" t="str">
        <f t="shared" ca="1" si="5"/>
        <v/>
      </c>
      <c r="B279" s="2" t="str">
        <f>IF('H.W&amp;S.W&amp;Services'!C293=0,"",'H.W&amp;S.W&amp;Services'!C293)</f>
        <v/>
      </c>
      <c r="C279" s="2" t="str">
        <f>IF('H.W&amp;S.W&amp;Services'!C293=0,"",'H.W&amp;S.W&amp;Services'!C293)</f>
        <v/>
      </c>
      <c r="D279" s="2" t="str">
        <f>IF('H.W&amp;S.W&amp;Services'!H293=0,"",'H.W&amp;S.W&amp;Services'!H293)</f>
        <v/>
      </c>
      <c r="E279" s="2" t="str">
        <f>IF('H.W&amp;S.W&amp;Services'!I293=0,"",'H.W&amp;S.W&amp;Services'!I293)</f>
        <v/>
      </c>
      <c r="F279" s="3" t="str">
        <f>IF('H.W&amp;S.W&amp;Services'!J293=0,"",'H.W&amp;S.W&amp;Services'!J293)</f>
        <v/>
      </c>
      <c r="G279" s="4" t="str">
        <f>IF('H.W&amp;S.W&amp;Services'!O293=0,"",'H.W&amp;S.W&amp;Services'!O293)</f>
        <v/>
      </c>
      <c r="H279" s="2" t="str">
        <f>IF('H.W&amp;S.W&amp;Services'!B293=0,"",'H.W&amp;S.W&amp;Services'!B293) &amp; IF('H.W&amp;S.W&amp;Services'!F293=0,""," / "&amp;'H.W&amp;S.W&amp;Services'!F293) &amp; IF('H.W&amp;S.W&amp;Services'!G293=0,""," / "&amp;'H.W&amp;S.W&amp;Services'!G293)</f>
        <v/>
      </c>
      <c r="I279" t="str">
        <f>IF('H.W&amp;S.W&amp;Services'!D293=0,"",'H.W&amp;S.W&amp;Services'!D293)</f>
        <v/>
      </c>
      <c r="J279" s="2" t="str">
        <f>IF('H.W&amp;S.W&amp;Services'!E293=0,"",'H.W&amp;S.W&amp;Services'!E293)</f>
        <v/>
      </c>
    </row>
    <row r="280" spans="1:10" x14ac:dyDescent="0.2">
      <c r="A280" s="2" t="str">
        <f t="shared" ca="1" si="5"/>
        <v/>
      </c>
      <c r="B280" s="2" t="str">
        <f>IF('H.W&amp;S.W&amp;Services'!C294=0,"",'H.W&amp;S.W&amp;Services'!C294)</f>
        <v/>
      </c>
      <c r="C280" s="2" t="str">
        <f>IF('H.W&amp;S.W&amp;Services'!C294=0,"",'H.W&amp;S.W&amp;Services'!C294)</f>
        <v/>
      </c>
      <c r="D280" s="2" t="str">
        <f>IF('H.W&amp;S.W&amp;Services'!H294=0,"",'H.W&amp;S.W&amp;Services'!H294)</f>
        <v/>
      </c>
      <c r="E280" s="2" t="str">
        <f>IF('H.W&amp;S.W&amp;Services'!I294=0,"",'H.W&amp;S.W&amp;Services'!I294)</f>
        <v/>
      </c>
      <c r="F280" s="3" t="str">
        <f>IF('H.W&amp;S.W&amp;Services'!J294=0,"",'H.W&amp;S.W&amp;Services'!J294)</f>
        <v/>
      </c>
      <c r="G280" s="4" t="str">
        <f>IF('H.W&amp;S.W&amp;Services'!O294=0,"",'H.W&amp;S.W&amp;Services'!O294)</f>
        <v/>
      </c>
      <c r="H280" s="2" t="str">
        <f>IF('H.W&amp;S.W&amp;Services'!B294=0,"",'H.W&amp;S.W&amp;Services'!B294) &amp; IF('H.W&amp;S.W&amp;Services'!F294=0,""," / "&amp;'H.W&amp;S.W&amp;Services'!F294) &amp; IF('H.W&amp;S.W&amp;Services'!G294=0,""," / "&amp;'H.W&amp;S.W&amp;Services'!G294)</f>
        <v/>
      </c>
      <c r="I280" t="str">
        <f>IF('H.W&amp;S.W&amp;Services'!D294=0,"",'H.W&amp;S.W&amp;Services'!D294)</f>
        <v/>
      </c>
      <c r="J280" s="2" t="str">
        <f>IF('H.W&amp;S.W&amp;Services'!E294=0,"",'H.W&amp;S.W&amp;Services'!E294)</f>
        <v/>
      </c>
    </row>
    <row r="281" spans="1:10" x14ac:dyDescent="0.2">
      <c r="A281" s="2" t="str">
        <f t="shared" ca="1" si="5"/>
        <v/>
      </c>
      <c r="B281" s="2" t="str">
        <f>IF('H.W&amp;S.W&amp;Services'!C295=0,"",'H.W&amp;S.W&amp;Services'!C295)</f>
        <v/>
      </c>
      <c r="C281" s="2" t="str">
        <f>IF('H.W&amp;S.W&amp;Services'!C295=0,"",'H.W&amp;S.W&amp;Services'!C295)</f>
        <v/>
      </c>
      <c r="D281" s="2" t="str">
        <f>IF('H.W&amp;S.W&amp;Services'!H295=0,"",'H.W&amp;S.W&amp;Services'!H295)</f>
        <v/>
      </c>
      <c r="E281" s="2" t="str">
        <f>IF('H.W&amp;S.W&amp;Services'!I295=0,"",'H.W&amp;S.W&amp;Services'!I295)</f>
        <v/>
      </c>
      <c r="F281" s="3" t="str">
        <f>IF('H.W&amp;S.W&amp;Services'!J295=0,"",'H.W&amp;S.W&amp;Services'!J295)</f>
        <v/>
      </c>
      <c r="G281" s="4" t="str">
        <f>IF('H.W&amp;S.W&amp;Services'!O295=0,"",'H.W&amp;S.W&amp;Services'!O295)</f>
        <v/>
      </c>
      <c r="H281" s="2" t="str">
        <f>IF('H.W&amp;S.W&amp;Services'!B295=0,"",'H.W&amp;S.W&amp;Services'!B295) &amp; IF('H.W&amp;S.W&amp;Services'!F295=0,""," / "&amp;'H.W&amp;S.W&amp;Services'!F295) &amp; IF('H.W&amp;S.W&amp;Services'!G295=0,""," / "&amp;'H.W&amp;S.W&amp;Services'!G295)</f>
        <v/>
      </c>
      <c r="I281" t="str">
        <f>IF('H.W&amp;S.W&amp;Services'!D295=0,"",'H.W&amp;S.W&amp;Services'!D295)</f>
        <v/>
      </c>
      <c r="J281" s="2" t="str">
        <f>IF('H.W&amp;S.W&amp;Services'!E295=0,"",'H.W&amp;S.W&amp;Services'!E295)</f>
        <v/>
      </c>
    </row>
    <row r="282" spans="1:10" x14ac:dyDescent="0.2">
      <c r="A282" s="2" t="str">
        <f t="shared" ca="1" si="5"/>
        <v/>
      </c>
      <c r="B282" s="2" t="str">
        <f>IF('H.W&amp;S.W&amp;Services'!C296=0,"",'H.W&amp;S.W&amp;Services'!C296)</f>
        <v/>
      </c>
      <c r="C282" s="2" t="str">
        <f>IF('H.W&amp;S.W&amp;Services'!C296=0,"",'H.W&amp;S.W&amp;Services'!C296)</f>
        <v/>
      </c>
      <c r="D282" s="2" t="str">
        <f>IF('H.W&amp;S.W&amp;Services'!H296=0,"",'H.W&amp;S.W&amp;Services'!H296)</f>
        <v/>
      </c>
      <c r="E282" s="2" t="str">
        <f>IF('H.W&amp;S.W&amp;Services'!I296=0,"",'H.W&amp;S.W&amp;Services'!I296)</f>
        <v/>
      </c>
      <c r="F282" s="3" t="str">
        <f>IF('H.W&amp;S.W&amp;Services'!J296=0,"",'H.W&amp;S.W&amp;Services'!J296)</f>
        <v/>
      </c>
      <c r="G282" s="4" t="str">
        <f>IF('H.W&amp;S.W&amp;Services'!O296=0,"",'H.W&amp;S.W&amp;Services'!O296)</f>
        <v/>
      </c>
      <c r="H282" s="2" t="str">
        <f>IF('H.W&amp;S.W&amp;Services'!B296=0,"",'H.W&amp;S.W&amp;Services'!B296) &amp; IF('H.W&amp;S.W&amp;Services'!F296=0,""," / "&amp;'H.W&amp;S.W&amp;Services'!F296) &amp; IF('H.W&amp;S.W&amp;Services'!G296=0,""," / "&amp;'H.W&amp;S.W&amp;Services'!G296)</f>
        <v/>
      </c>
      <c r="I282" t="str">
        <f>IF('H.W&amp;S.W&amp;Services'!D296=0,"",'H.W&amp;S.W&amp;Services'!D296)</f>
        <v/>
      </c>
      <c r="J282" s="2" t="str">
        <f>IF('H.W&amp;S.W&amp;Services'!E296=0,"",'H.W&amp;S.W&amp;Services'!E296)</f>
        <v/>
      </c>
    </row>
    <row r="283" spans="1:10" x14ac:dyDescent="0.2">
      <c r="A283" s="2" t="str">
        <f t="shared" ca="1" si="5"/>
        <v/>
      </c>
      <c r="B283" s="2" t="str">
        <f>IF('H.W&amp;S.W&amp;Services'!C297=0,"",'H.W&amp;S.W&amp;Services'!C297)</f>
        <v/>
      </c>
      <c r="C283" s="2" t="str">
        <f>IF('H.W&amp;S.W&amp;Services'!C297=0,"",'H.W&amp;S.W&amp;Services'!C297)</f>
        <v/>
      </c>
      <c r="D283" s="2" t="str">
        <f>IF('H.W&amp;S.W&amp;Services'!H297=0,"",'H.W&amp;S.W&amp;Services'!H297)</f>
        <v/>
      </c>
      <c r="E283" s="2" t="str">
        <f>IF('H.W&amp;S.W&amp;Services'!I297=0,"",'H.W&amp;S.W&amp;Services'!I297)</f>
        <v/>
      </c>
      <c r="F283" s="3" t="str">
        <f>IF('H.W&amp;S.W&amp;Services'!J297=0,"",'H.W&amp;S.W&amp;Services'!J297)</f>
        <v/>
      </c>
      <c r="G283" s="4" t="str">
        <f>IF('H.W&amp;S.W&amp;Services'!O297=0,"",'H.W&amp;S.W&amp;Services'!O297)</f>
        <v/>
      </c>
      <c r="H283" s="2" t="str">
        <f>IF('H.W&amp;S.W&amp;Services'!B297=0,"",'H.W&amp;S.W&amp;Services'!B297) &amp; IF('H.W&amp;S.W&amp;Services'!F297=0,""," / "&amp;'H.W&amp;S.W&amp;Services'!F297) &amp; IF('H.W&amp;S.W&amp;Services'!G297=0,""," / "&amp;'H.W&amp;S.W&amp;Services'!G297)</f>
        <v/>
      </c>
      <c r="I283" t="str">
        <f>IF('H.W&amp;S.W&amp;Services'!D297=0,"",'H.W&amp;S.W&amp;Services'!D297)</f>
        <v/>
      </c>
      <c r="J283" s="2" t="str">
        <f>IF('H.W&amp;S.W&amp;Services'!E297=0,"",'H.W&amp;S.W&amp;Services'!E297)</f>
        <v/>
      </c>
    </row>
    <row r="284" spans="1:10" x14ac:dyDescent="0.2">
      <c r="A284" s="2" t="str">
        <f t="shared" ca="1" si="5"/>
        <v/>
      </c>
      <c r="B284" s="2" t="str">
        <f>IF('H.W&amp;S.W&amp;Services'!C298=0,"",'H.W&amp;S.W&amp;Services'!C298)</f>
        <v/>
      </c>
      <c r="C284" s="2" t="str">
        <f>IF('H.W&amp;S.W&amp;Services'!C298=0,"",'H.W&amp;S.W&amp;Services'!C298)</f>
        <v/>
      </c>
      <c r="D284" s="2" t="str">
        <f>IF('H.W&amp;S.W&amp;Services'!H298=0,"",'H.W&amp;S.W&amp;Services'!H298)</f>
        <v/>
      </c>
      <c r="E284" s="2" t="str">
        <f>IF('H.W&amp;S.W&amp;Services'!I298=0,"",'H.W&amp;S.W&amp;Services'!I298)</f>
        <v/>
      </c>
      <c r="F284" s="3" t="str">
        <f>IF('H.W&amp;S.W&amp;Services'!J298=0,"",'H.W&amp;S.W&amp;Services'!J298)</f>
        <v/>
      </c>
      <c r="G284" s="4" t="str">
        <f>IF('H.W&amp;S.W&amp;Services'!O298=0,"",'H.W&amp;S.W&amp;Services'!O298)</f>
        <v/>
      </c>
      <c r="H284" s="2" t="str">
        <f>IF('H.W&amp;S.W&amp;Services'!B298=0,"",'H.W&amp;S.W&amp;Services'!B298) &amp; IF('H.W&amp;S.W&amp;Services'!F298=0,""," / "&amp;'H.W&amp;S.W&amp;Services'!F298) &amp; IF('H.W&amp;S.W&amp;Services'!G298=0,""," / "&amp;'H.W&amp;S.W&amp;Services'!G298)</f>
        <v/>
      </c>
      <c r="I284" t="str">
        <f>IF('H.W&amp;S.W&amp;Services'!D298=0,"",'H.W&amp;S.W&amp;Services'!D298)</f>
        <v/>
      </c>
      <c r="J284" s="2" t="str">
        <f>IF('H.W&amp;S.W&amp;Services'!E298=0,"",'H.W&amp;S.W&amp;Services'!E298)</f>
        <v/>
      </c>
    </row>
    <row r="285" spans="1:10" x14ac:dyDescent="0.2">
      <c r="A285" s="2" t="str">
        <f t="shared" ca="1" si="5"/>
        <v/>
      </c>
      <c r="B285" s="2" t="str">
        <f>IF('H.W&amp;S.W&amp;Services'!C299=0,"",'H.W&amp;S.W&amp;Services'!C299)</f>
        <v/>
      </c>
      <c r="C285" s="2" t="str">
        <f>IF('H.W&amp;S.W&amp;Services'!C299=0,"",'H.W&amp;S.W&amp;Services'!C299)</f>
        <v/>
      </c>
      <c r="D285" s="2" t="str">
        <f>IF('H.W&amp;S.W&amp;Services'!H299=0,"",'H.W&amp;S.W&amp;Services'!H299)</f>
        <v/>
      </c>
      <c r="E285" s="2" t="str">
        <f>IF('H.W&amp;S.W&amp;Services'!I299=0,"",'H.W&amp;S.W&amp;Services'!I299)</f>
        <v/>
      </c>
      <c r="F285" s="3" t="str">
        <f>IF('H.W&amp;S.W&amp;Services'!J299=0,"",'H.W&amp;S.W&amp;Services'!J299)</f>
        <v/>
      </c>
      <c r="G285" s="4" t="str">
        <f>IF('H.W&amp;S.W&amp;Services'!O299=0,"",'H.W&amp;S.W&amp;Services'!O299)</f>
        <v/>
      </c>
      <c r="H285" s="2" t="str">
        <f>IF('H.W&amp;S.W&amp;Services'!B299=0,"",'H.W&amp;S.W&amp;Services'!B299) &amp; IF('H.W&amp;S.W&amp;Services'!F299=0,""," / "&amp;'H.W&amp;S.W&amp;Services'!F299) &amp; IF('H.W&amp;S.W&amp;Services'!G299=0,""," / "&amp;'H.W&amp;S.W&amp;Services'!G299)</f>
        <v/>
      </c>
      <c r="I285" t="str">
        <f>IF('H.W&amp;S.W&amp;Services'!D299=0,"",'H.W&amp;S.W&amp;Services'!D299)</f>
        <v/>
      </c>
      <c r="J285" s="2" t="str">
        <f>IF('H.W&amp;S.W&amp;Services'!E299=0,"",'H.W&amp;S.W&amp;Services'!E299)</f>
        <v/>
      </c>
    </row>
    <row r="286" spans="1:10" x14ac:dyDescent="0.2">
      <c r="A286" s="2" t="str">
        <f t="shared" ca="1" si="5"/>
        <v/>
      </c>
      <c r="B286" s="2" t="str">
        <f>IF('H.W&amp;S.W&amp;Services'!C300=0,"",'H.W&amp;S.W&amp;Services'!C300)</f>
        <v/>
      </c>
      <c r="C286" s="2" t="str">
        <f>IF('H.W&amp;S.W&amp;Services'!C300=0,"",'H.W&amp;S.W&amp;Services'!C300)</f>
        <v/>
      </c>
      <c r="D286" s="2" t="str">
        <f>IF('H.W&amp;S.W&amp;Services'!H300=0,"",'H.W&amp;S.W&amp;Services'!H300)</f>
        <v/>
      </c>
      <c r="E286" s="2" t="str">
        <f>IF('H.W&amp;S.W&amp;Services'!I300=0,"",'H.W&amp;S.W&amp;Services'!I300)</f>
        <v/>
      </c>
      <c r="F286" s="3" t="str">
        <f>IF('H.W&amp;S.W&amp;Services'!J300=0,"",'H.W&amp;S.W&amp;Services'!J300)</f>
        <v/>
      </c>
      <c r="G286" s="4" t="str">
        <f>IF('H.W&amp;S.W&amp;Services'!O300=0,"",'H.W&amp;S.W&amp;Services'!O300)</f>
        <v/>
      </c>
      <c r="H286" s="2" t="str">
        <f>IF('H.W&amp;S.W&amp;Services'!B300=0,"",'H.W&amp;S.W&amp;Services'!B300) &amp; IF('H.W&amp;S.W&amp;Services'!F300=0,""," / "&amp;'H.W&amp;S.W&amp;Services'!F300) &amp; IF('H.W&amp;S.W&amp;Services'!G300=0,""," / "&amp;'H.W&amp;S.W&amp;Services'!G300)</f>
        <v/>
      </c>
      <c r="I286" t="str">
        <f>IF('H.W&amp;S.W&amp;Services'!D300=0,"",'H.W&amp;S.W&amp;Services'!D300)</f>
        <v/>
      </c>
      <c r="J286" s="2" t="str">
        <f>IF('H.W&amp;S.W&amp;Services'!E300=0,"",'H.W&amp;S.W&amp;Services'!E300)</f>
        <v/>
      </c>
    </row>
    <row r="287" spans="1:10" x14ac:dyDescent="0.2">
      <c r="A287" s="2" t="str">
        <f t="shared" ca="1" si="5"/>
        <v/>
      </c>
      <c r="B287" s="2" t="str">
        <f>IF('H.W&amp;S.W&amp;Services'!C301=0,"",'H.W&amp;S.W&amp;Services'!C301)</f>
        <v/>
      </c>
      <c r="C287" s="2" t="str">
        <f>IF('H.W&amp;S.W&amp;Services'!C301=0,"",'H.W&amp;S.W&amp;Services'!C301)</f>
        <v/>
      </c>
      <c r="D287" s="2" t="str">
        <f>IF('H.W&amp;S.W&amp;Services'!H301=0,"",'H.W&amp;S.W&amp;Services'!H301)</f>
        <v/>
      </c>
      <c r="E287" s="2" t="str">
        <f>IF('H.W&amp;S.W&amp;Services'!I301=0,"",'H.W&amp;S.W&amp;Services'!I301)</f>
        <v/>
      </c>
      <c r="F287" s="3" t="str">
        <f>IF('H.W&amp;S.W&amp;Services'!J301=0,"",'H.W&amp;S.W&amp;Services'!J301)</f>
        <v/>
      </c>
      <c r="G287" s="4" t="str">
        <f>IF('H.W&amp;S.W&amp;Services'!O301=0,"",'H.W&amp;S.W&amp;Services'!O301)</f>
        <v/>
      </c>
      <c r="H287" s="2" t="str">
        <f>IF('H.W&amp;S.W&amp;Services'!B301=0,"",'H.W&amp;S.W&amp;Services'!B301) &amp; IF('H.W&amp;S.W&amp;Services'!F301=0,""," / "&amp;'H.W&amp;S.W&amp;Services'!F301) &amp; IF('H.W&amp;S.W&amp;Services'!G301=0,""," / "&amp;'H.W&amp;S.W&amp;Services'!G301)</f>
        <v/>
      </c>
      <c r="I287" t="str">
        <f>IF('H.W&amp;S.W&amp;Services'!D301=0,"",'H.W&amp;S.W&amp;Services'!D301)</f>
        <v/>
      </c>
      <c r="J287" s="2" t="str">
        <f>IF('H.W&amp;S.W&amp;Services'!E301=0,"",'H.W&amp;S.W&amp;Services'!E301)</f>
        <v/>
      </c>
    </row>
    <row r="288" spans="1:10" x14ac:dyDescent="0.2">
      <c r="A288" s="2" t="str">
        <f t="shared" ca="1" si="5"/>
        <v/>
      </c>
      <c r="B288" s="2" t="str">
        <f>IF('H.W&amp;S.W&amp;Services'!C302=0,"",'H.W&amp;S.W&amp;Services'!C302)</f>
        <v/>
      </c>
      <c r="C288" s="2" t="str">
        <f>IF('H.W&amp;S.W&amp;Services'!C302=0,"",'H.W&amp;S.W&amp;Services'!C302)</f>
        <v/>
      </c>
      <c r="D288" s="2" t="str">
        <f>IF('H.W&amp;S.W&amp;Services'!H302=0,"",'H.W&amp;S.W&amp;Services'!H302)</f>
        <v/>
      </c>
      <c r="E288" s="2" t="str">
        <f>IF('H.W&amp;S.W&amp;Services'!I302=0,"",'H.W&amp;S.W&amp;Services'!I302)</f>
        <v/>
      </c>
      <c r="F288" s="3" t="str">
        <f>IF('H.W&amp;S.W&amp;Services'!J302=0,"",'H.W&amp;S.W&amp;Services'!J302)</f>
        <v/>
      </c>
      <c r="G288" s="4" t="str">
        <f>IF('H.W&amp;S.W&amp;Services'!O302=0,"",'H.W&amp;S.W&amp;Services'!O302)</f>
        <v/>
      </c>
      <c r="H288" s="2" t="str">
        <f>IF('H.W&amp;S.W&amp;Services'!B302=0,"",'H.W&amp;S.W&amp;Services'!B302) &amp; IF('H.W&amp;S.W&amp;Services'!F302=0,""," / "&amp;'H.W&amp;S.W&amp;Services'!F302) &amp; IF('H.W&amp;S.W&amp;Services'!G302=0,""," / "&amp;'H.W&amp;S.W&amp;Services'!G302)</f>
        <v/>
      </c>
      <c r="I288" t="str">
        <f>IF('H.W&amp;S.W&amp;Services'!D302=0,"",'H.W&amp;S.W&amp;Services'!D302)</f>
        <v/>
      </c>
      <c r="J288" s="2" t="str">
        <f>IF('H.W&amp;S.W&amp;Services'!E302=0,"",'H.W&amp;S.W&amp;Services'!E302)</f>
        <v/>
      </c>
    </row>
    <row r="289" spans="1:10" x14ac:dyDescent="0.2">
      <c r="A289" s="2" t="str">
        <f t="shared" ca="1" si="5"/>
        <v/>
      </c>
      <c r="B289" s="2" t="str">
        <f>IF('H.W&amp;S.W&amp;Services'!C303=0,"",'H.W&amp;S.W&amp;Services'!C303)</f>
        <v/>
      </c>
      <c r="C289" s="2" t="str">
        <f>IF('H.W&amp;S.W&amp;Services'!C303=0,"",'H.W&amp;S.W&amp;Services'!C303)</f>
        <v/>
      </c>
      <c r="D289" s="2" t="str">
        <f>IF('H.W&amp;S.W&amp;Services'!H303=0,"",'H.W&amp;S.W&amp;Services'!H303)</f>
        <v/>
      </c>
      <c r="E289" s="2" t="str">
        <f>IF('H.W&amp;S.W&amp;Services'!I303=0,"",'H.W&amp;S.W&amp;Services'!I303)</f>
        <v/>
      </c>
      <c r="F289" s="3" t="str">
        <f>IF('H.W&amp;S.W&amp;Services'!J303=0,"",'H.W&amp;S.W&amp;Services'!J303)</f>
        <v/>
      </c>
      <c r="G289" s="4" t="str">
        <f>IF('H.W&amp;S.W&amp;Services'!O303=0,"",'H.W&amp;S.W&amp;Services'!O303)</f>
        <v/>
      </c>
      <c r="H289" s="2" t="str">
        <f>IF('H.W&amp;S.W&amp;Services'!B303=0,"",'H.W&amp;S.W&amp;Services'!B303) &amp; IF('H.W&amp;S.W&amp;Services'!F303=0,""," / "&amp;'H.W&amp;S.W&amp;Services'!F303) &amp; IF('H.W&amp;S.W&amp;Services'!G303=0,""," / "&amp;'H.W&amp;S.W&amp;Services'!G303)</f>
        <v/>
      </c>
      <c r="I289" t="str">
        <f>IF('H.W&amp;S.W&amp;Services'!D303=0,"",'H.W&amp;S.W&amp;Services'!D303)</f>
        <v/>
      </c>
      <c r="J289" s="2" t="str">
        <f>IF('H.W&amp;S.W&amp;Services'!E303=0,"",'H.W&amp;S.W&amp;Services'!E303)</f>
        <v/>
      </c>
    </row>
    <row r="290" spans="1:10" x14ac:dyDescent="0.2">
      <c r="A290" s="2" t="str">
        <f t="shared" ca="1" si="5"/>
        <v/>
      </c>
      <c r="B290" s="2" t="str">
        <f>IF('H.W&amp;S.W&amp;Services'!C304=0,"",'H.W&amp;S.W&amp;Services'!C304)</f>
        <v/>
      </c>
      <c r="C290" s="2" t="str">
        <f>IF('H.W&amp;S.W&amp;Services'!C304=0,"",'H.W&amp;S.W&amp;Services'!C304)</f>
        <v/>
      </c>
      <c r="D290" s="2" t="str">
        <f>IF('H.W&amp;S.W&amp;Services'!H304=0,"",'H.W&amp;S.W&amp;Services'!H304)</f>
        <v/>
      </c>
      <c r="E290" s="2" t="str">
        <f>IF('H.W&amp;S.W&amp;Services'!I304=0,"",'H.W&amp;S.W&amp;Services'!I304)</f>
        <v/>
      </c>
      <c r="F290" s="3" t="str">
        <f>IF('H.W&amp;S.W&amp;Services'!J304=0,"",'H.W&amp;S.W&amp;Services'!J304)</f>
        <v/>
      </c>
      <c r="G290" s="4" t="str">
        <f>IF('H.W&amp;S.W&amp;Services'!O304=0,"",'H.W&amp;S.W&amp;Services'!O304)</f>
        <v/>
      </c>
      <c r="H290" s="2" t="str">
        <f>IF('H.W&amp;S.W&amp;Services'!B304=0,"",'H.W&amp;S.W&amp;Services'!B304) &amp; IF('H.W&amp;S.W&amp;Services'!F304=0,""," / "&amp;'H.W&amp;S.W&amp;Services'!F304) &amp; IF('H.W&amp;S.W&amp;Services'!G304=0,""," / "&amp;'H.W&amp;S.W&amp;Services'!G304)</f>
        <v/>
      </c>
      <c r="I290" t="str">
        <f>IF('H.W&amp;S.W&amp;Services'!D304=0,"",'H.W&amp;S.W&amp;Services'!D304)</f>
        <v/>
      </c>
      <c r="J290" s="2" t="str">
        <f>IF('H.W&amp;S.W&amp;Services'!E304=0,"",'H.W&amp;S.W&amp;Services'!E304)</f>
        <v/>
      </c>
    </row>
    <row r="291" spans="1:10" x14ac:dyDescent="0.2">
      <c r="A291" s="2" t="str">
        <f t="shared" ca="1" si="5"/>
        <v/>
      </c>
      <c r="B291" s="2" t="str">
        <f>IF('H.W&amp;S.W&amp;Services'!C305=0,"",'H.W&amp;S.W&amp;Services'!C305)</f>
        <v/>
      </c>
      <c r="C291" s="2" t="str">
        <f>IF('H.W&amp;S.W&amp;Services'!C305=0,"",'H.W&amp;S.W&amp;Services'!C305)</f>
        <v/>
      </c>
      <c r="D291" s="2" t="str">
        <f>IF('H.W&amp;S.W&amp;Services'!H305=0,"",'H.W&amp;S.W&amp;Services'!H305)</f>
        <v/>
      </c>
      <c r="E291" s="2" t="str">
        <f>IF('H.W&amp;S.W&amp;Services'!I305=0,"",'H.W&amp;S.W&amp;Services'!I305)</f>
        <v/>
      </c>
      <c r="F291" s="3" t="str">
        <f>IF('H.W&amp;S.W&amp;Services'!J305=0,"",'H.W&amp;S.W&amp;Services'!J305)</f>
        <v/>
      </c>
      <c r="G291" s="4" t="str">
        <f>IF('H.W&amp;S.W&amp;Services'!O305=0,"",'H.W&amp;S.W&amp;Services'!O305)</f>
        <v/>
      </c>
      <c r="H291" s="2" t="str">
        <f>IF('H.W&amp;S.W&amp;Services'!B305=0,"",'H.W&amp;S.W&amp;Services'!B305) &amp; IF('H.W&amp;S.W&amp;Services'!F305=0,""," / "&amp;'H.W&amp;S.W&amp;Services'!F305) &amp; IF('H.W&amp;S.W&amp;Services'!G305=0,""," / "&amp;'H.W&amp;S.W&amp;Services'!G305)</f>
        <v/>
      </c>
      <c r="I291" t="str">
        <f>IF('H.W&amp;S.W&amp;Services'!D305=0,"",'H.W&amp;S.W&amp;Services'!D305)</f>
        <v/>
      </c>
      <c r="J291" s="2" t="str">
        <f>IF('H.W&amp;S.W&amp;Services'!E305=0,"",'H.W&amp;S.W&amp;Services'!E305)</f>
        <v/>
      </c>
    </row>
    <row r="292" spans="1:10" x14ac:dyDescent="0.2">
      <c r="A292" s="2" t="str">
        <f t="shared" ca="1" si="5"/>
        <v/>
      </c>
      <c r="B292" s="2" t="str">
        <f>IF('H.W&amp;S.W&amp;Services'!C306=0,"",'H.W&amp;S.W&amp;Services'!C306)</f>
        <v/>
      </c>
      <c r="C292" s="2" t="str">
        <f>IF('H.W&amp;S.W&amp;Services'!C306=0,"",'H.W&amp;S.W&amp;Services'!C306)</f>
        <v/>
      </c>
      <c r="D292" s="2" t="str">
        <f>IF('H.W&amp;S.W&amp;Services'!H306=0,"",'H.W&amp;S.W&amp;Services'!H306)</f>
        <v/>
      </c>
      <c r="E292" s="2" t="str">
        <f>IF('H.W&amp;S.W&amp;Services'!I306=0,"",'H.W&amp;S.W&amp;Services'!I306)</f>
        <v/>
      </c>
      <c r="F292" s="3" t="str">
        <f>IF('H.W&amp;S.W&amp;Services'!J306=0,"",'H.W&amp;S.W&amp;Services'!J306)</f>
        <v/>
      </c>
      <c r="G292" s="4" t="str">
        <f>IF('H.W&amp;S.W&amp;Services'!O306=0,"",'H.W&amp;S.W&amp;Services'!O306)</f>
        <v/>
      </c>
      <c r="H292" s="2" t="str">
        <f>IF('H.W&amp;S.W&amp;Services'!B306=0,"",'H.W&amp;S.W&amp;Services'!B306) &amp; IF('H.W&amp;S.W&amp;Services'!F306=0,""," / "&amp;'H.W&amp;S.W&amp;Services'!F306) &amp; IF('H.W&amp;S.W&amp;Services'!G306=0,""," / "&amp;'H.W&amp;S.W&amp;Services'!G306)</f>
        <v/>
      </c>
      <c r="I292" t="str">
        <f>IF('H.W&amp;S.W&amp;Services'!D306=0,"",'H.W&amp;S.W&amp;Services'!D306)</f>
        <v/>
      </c>
      <c r="J292" s="2" t="str">
        <f>IF('H.W&amp;S.W&amp;Services'!E306=0,"",'H.W&amp;S.W&amp;Services'!E306)</f>
        <v/>
      </c>
    </row>
    <row r="293" spans="1:10" x14ac:dyDescent="0.2">
      <c r="A293" s="2" t="str">
        <f t="shared" ca="1" si="5"/>
        <v/>
      </c>
      <c r="B293" s="2" t="str">
        <f>IF('H.W&amp;S.W&amp;Services'!C307=0,"",'H.W&amp;S.W&amp;Services'!C307)</f>
        <v/>
      </c>
      <c r="C293" s="2" t="str">
        <f>IF('H.W&amp;S.W&amp;Services'!C307=0,"",'H.W&amp;S.W&amp;Services'!C307)</f>
        <v/>
      </c>
      <c r="D293" s="2" t="str">
        <f>IF('H.W&amp;S.W&amp;Services'!H307=0,"",'H.W&amp;S.W&amp;Services'!H307)</f>
        <v/>
      </c>
      <c r="E293" s="2" t="str">
        <f>IF('H.W&amp;S.W&amp;Services'!I307=0,"",'H.W&amp;S.W&amp;Services'!I307)</f>
        <v/>
      </c>
      <c r="F293" s="3" t="str">
        <f>IF('H.W&amp;S.W&amp;Services'!J307=0,"",'H.W&amp;S.W&amp;Services'!J307)</f>
        <v/>
      </c>
      <c r="G293" s="4" t="str">
        <f>IF('H.W&amp;S.W&amp;Services'!O307=0,"",'H.W&amp;S.W&amp;Services'!O307)</f>
        <v/>
      </c>
      <c r="H293" s="2" t="str">
        <f>IF('H.W&amp;S.W&amp;Services'!B307=0,"",'H.W&amp;S.W&amp;Services'!B307) &amp; IF('H.W&amp;S.W&amp;Services'!F307=0,""," / "&amp;'H.W&amp;S.W&amp;Services'!F307) &amp; IF('H.W&amp;S.W&amp;Services'!G307=0,""," / "&amp;'H.W&amp;S.W&amp;Services'!G307)</f>
        <v/>
      </c>
      <c r="I293" t="str">
        <f>IF('H.W&amp;S.W&amp;Services'!D307=0,"",'H.W&amp;S.W&amp;Services'!D307)</f>
        <v/>
      </c>
      <c r="J293" s="2" t="str">
        <f>IF('H.W&amp;S.W&amp;Services'!E307=0,"",'H.W&amp;S.W&amp;Services'!E307)</f>
        <v/>
      </c>
    </row>
    <row r="294" spans="1:10" x14ac:dyDescent="0.2">
      <c r="A294" s="2" t="str">
        <f t="shared" ca="1" si="5"/>
        <v/>
      </c>
      <c r="B294" s="2" t="str">
        <f>IF('H.W&amp;S.W&amp;Services'!C308=0,"",'H.W&amp;S.W&amp;Services'!C308)</f>
        <v/>
      </c>
      <c r="C294" s="2" t="str">
        <f>IF('H.W&amp;S.W&amp;Services'!C308=0,"",'H.W&amp;S.W&amp;Services'!C308)</f>
        <v/>
      </c>
      <c r="D294" s="2" t="str">
        <f>IF('H.W&amp;S.W&amp;Services'!H308=0,"",'H.W&amp;S.W&amp;Services'!H308)</f>
        <v/>
      </c>
      <c r="E294" s="2" t="str">
        <f>IF('H.W&amp;S.W&amp;Services'!I308=0,"",'H.W&amp;S.W&amp;Services'!I308)</f>
        <v/>
      </c>
      <c r="F294" s="3" t="str">
        <f>IF('H.W&amp;S.W&amp;Services'!J308=0,"",'H.W&amp;S.W&amp;Services'!J308)</f>
        <v/>
      </c>
      <c r="G294" s="4" t="str">
        <f>IF('H.W&amp;S.W&amp;Services'!O308=0,"",'H.W&amp;S.W&amp;Services'!O308)</f>
        <v/>
      </c>
      <c r="H294" s="2" t="str">
        <f>IF('H.W&amp;S.W&amp;Services'!B308=0,"",'H.W&amp;S.W&amp;Services'!B308) &amp; IF('H.W&amp;S.W&amp;Services'!F308=0,""," / "&amp;'H.W&amp;S.W&amp;Services'!F308) &amp; IF('H.W&amp;S.W&amp;Services'!G308=0,""," / "&amp;'H.W&amp;S.W&amp;Services'!G308)</f>
        <v/>
      </c>
      <c r="I294" t="str">
        <f>IF('H.W&amp;S.W&amp;Services'!D308=0,"",'H.W&amp;S.W&amp;Services'!D308)</f>
        <v/>
      </c>
      <c r="J294" s="2" t="str">
        <f>IF('H.W&amp;S.W&amp;Services'!E308=0,"",'H.W&amp;S.W&amp;Services'!E308)</f>
        <v/>
      </c>
    </row>
    <row r="295" spans="1:10" x14ac:dyDescent="0.2">
      <c r="A295" s="2" t="str">
        <f t="shared" ca="1" si="5"/>
        <v/>
      </c>
      <c r="B295" s="2" t="str">
        <f>IF('H.W&amp;S.W&amp;Services'!C309=0,"",'H.W&amp;S.W&amp;Services'!C309)</f>
        <v/>
      </c>
      <c r="C295" s="2" t="str">
        <f>IF('H.W&amp;S.W&amp;Services'!C309=0,"",'H.W&amp;S.W&amp;Services'!C309)</f>
        <v/>
      </c>
      <c r="D295" s="2" t="str">
        <f>IF('H.W&amp;S.W&amp;Services'!H309=0,"",'H.W&amp;S.W&amp;Services'!H309)</f>
        <v/>
      </c>
      <c r="E295" s="2" t="str">
        <f>IF('H.W&amp;S.W&amp;Services'!I309=0,"",'H.W&amp;S.W&amp;Services'!I309)</f>
        <v/>
      </c>
      <c r="F295" s="3" t="str">
        <f>IF('H.W&amp;S.W&amp;Services'!J309=0,"",'H.W&amp;S.W&amp;Services'!J309)</f>
        <v/>
      </c>
      <c r="G295" s="4" t="str">
        <f>IF('H.W&amp;S.W&amp;Services'!O309=0,"",'H.W&amp;S.W&amp;Services'!O309)</f>
        <v/>
      </c>
      <c r="H295" s="2" t="str">
        <f>IF('H.W&amp;S.W&amp;Services'!B309=0,"",'H.W&amp;S.W&amp;Services'!B309) &amp; IF('H.W&amp;S.W&amp;Services'!F309=0,""," / "&amp;'H.W&amp;S.W&amp;Services'!F309) &amp; IF('H.W&amp;S.W&amp;Services'!G309=0,""," / "&amp;'H.W&amp;S.W&amp;Services'!G309)</f>
        <v/>
      </c>
      <c r="I295" t="str">
        <f>IF('H.W&amp;S.W&amp;Services'!D309=0,"",'H.W&amp;S.W&amp;Services'!D309)</f>
        <v/>
      </c>
      <c r="J295" s="2" t="str">
        <f>IF('H.W&amp;S.W&amp;Services'!E309=0,"",'H.W&amp;S.W&amp;Services'!E309)</f>
        <v/>
      </c>
    </row>
    <row r="296" spans="1:10" x14ac:dyDescent="0.2">
      <c r="A296" s="2" t="str">
        <f t="shared" ca="1" si="5"/>
        <v/>
      </c>
      <c r="B296" s="2" t="str">
        <f>IF('H.W&amp;S.W&amp;Services'!C310=0,"",'H.W&amp;S.W&amp;Services'!C310)</f>
        <v/>
      </c>
      <c r="C296" s="2" t="str">
        <f>IF('H.W&amp;S.W&amp;Services'!C310=0,"",'H.W&amp;S.W&amp;Services'!C310)</f>
        <v/>
      </c>
      <c r="D296" s="2" t="str">
        <f>IF('H.W&amp;S.W&amp;Services'!H310=0,"",'H.W&amp;S.W&amp;Services'!H310)</f>
        <v/>
      </c>
      <c r="E296" s="2" t="str">
        <f>IF('H.W&amp;S.W&amp;Services'!I310=0,"",'H.W&amp;S.W&amp;Services'!I310)</f>
        <v/>
      </c>
      <c r="F296" s="3" t="str">
        <f>IF('H.W&amp;S.W&amp;Services'!J310=0,"",'H.W&amp;S.W&amp;Services'!J310)</f>
        <v/>
      </c>
      <c r="G296" s="4" t="str">
        <f>IF('H.W&amp;S.W&amp;Services'!O310=0,"",'H.W&amp;S.W&amp;Services'!O310)</f>
        <v/>
      </c>
      <c r="H296" s="2" t="str">
        <f>IF('H.W&amp;S.W&amp;Services'!B310=0,"",'H.W&amp;S.W&amp;Services'!B310) &amp; IF('H.W&amp;S.W&amp;Services'!F310=0,""," / "&amp;'H.W&amp;S.W&amp;Services'!F310) &amp; IF('H.W&amp;S.W&amp;Services'!G310=0,""," / "&amp;'H.W&amp;S.W&amp;Services'!G310)</f>
        <v/>
      </c>
      <c r="I296" t="str">
        <f>IF('H.W&amp;S.W&amp;Services'!D310=0,"",'H.W&amp;S.W&amp;Services'!D310)</f>
        <v/>
      </c>
      <c r="J296" s="2" t="str">
        <f>IF('H.W&amp;S.W&amp;Services'!E310=0,"",'H.W&amp;S.W&amp;Services'!E310)</f>
        <v/>
      </c>
    </row>
    <row r="297" spans="1:10" x14ac:dyDescent="0.2">
      <c r="A297" s="2" t="str">
        <f t="shared" ca="1" si="5"/>
        <v/>
      </c>
      <c r="B297" s="2" t="str">
        <f>IF('H.W&amp;S.W&amp;Services'!C311=0,"",'H.W&amp;S.W&amp;Services'!C311)</f>
        <v/>
      </c>
      <c r="C297" s="2" t="str">
        <f>IF('H.W&amp;S.W&amp;Services'!C311=0,"",'H.W&amp;S.W&amp;Services'!C311)</f>
        <v/>
      </c>
      <c r="D297" s="2" t="str">
        <f>IF('H.W&amp;S.W&amp;Services'!H311=0,"",'H.W&amp;S.W&amp;Services'!H311)</f>
        <v/>
      </c>
      <c r="E297" s="2" t="str">
        <f>IF('H.W&amp;S.W&amp;Services'!I311=0,"",'H.W&amp;S.W&amp;Services'!I311)</f>
        <v/>
      </c>
      <c r="F297" s="3" t="str">
        <f>IF('H.W&amp;S.W&amp;Services'!J311=0,"",'H.W&amp;S.W&amp;Services'!J311)</f>
        <v/>
      </c>
      <c r="G297" s="4" t="str">
        <f>IF('H.W&amp;S.W&amp;Services'!O311=0,"",'H.W&amp;S.W&amp;Services'!O311)</f>
        <v/>
      </c>
      <c r="H297" s="2" t="str">
        <f>IF('H.W&amp;S.W&amp;Services'!B311=0,"",'H.W&amp;S.W&amp;Services'!B311) &amp; IF('H.W&amp;S.W&amp;Services'!F311=0,""," / "&amp;'H.W&amp;S.W&amp;Services'!F311) &amp; IF('H.W&amp;S.W&amp;Services'!G311=0,""," / "&amp;'H.W&amp;S.W&amp;Services'!G311)</f>
        <v/>
      </c>
      <c r="I297" t="str">
        <f>IF('H.W&amp;S.W&amp;Services'!D311=0,"",'H.W&amp;S.W&amp;Services'!D311)</f>
        <v/>
      </c>
      <c r="J297" s="2" t="str">
        <f>IF('H.W&amp;S.W&amp;Services'!E311=0,"",'H.W&amp;S.W&amp;Services'!E311)</f>
        <v/>
      </c>
    </row>
    <row r="298" spans="1:10" x14ac:dyDescent="0.2">
      <c r="A298" s="2" t="str">
        <f t="shared" ca="1" si="5"/>
        <v/>
      </c>
      <c r="B298" s="2" t="str">
        <f>IF('H.W&amp;S.W&amp;Services'!C312=0,"",'H.W&amp;S.W&amp;Services'!C312)</f>
        <v/>
      </c>
      <c r="C298" s="2" t="str">
        <f>IF('H.W&amp;S.W&amp;Services'!C312=0,"",'H.W&amp;S.W&amp;Services'!C312)</f>
        <v/>
      </c>
      <c r="D298" s="2" t="str">
        <f>IF('H.W&amp;S.W&amp;Services'!H312=0,"",'H.W&amp;S.W&amp;Services'!H312)</f>
        <v/>
      </c>
      <c r="E298" s="2" t="str">
        <f>IF('H.W&amp;S.W&amp;Services'!I312=0,"",'H.W&amp;S.W&amp;Services'!I312)</f>
        <v/>
      </c>
      <c r="F298" s="3" t="str">
        <f>IF('H.W&amp;S.W&amp;Services'!J312=0,"",'H.W&amp;S.W&amp;Services'!J312)</f>
        <v/>
      </c>
      <c r="G298" s="4" t="str">
        <f>IF('H.W&amp;S.W&amp;Services'!O312=0,"",'H.W&amp;S.W&amp;Services'!O312)</f>
        <v/>
      </c>
      <c r="H298" s="2" t="str">
        <f>IF('H.W&amp;S.W&amp;Services'!B312=0,"",'H.W&amp;S.W&amp;Services'!B312) &amp; IF('H.W&amp;S.W&amp;Services'!F312=0,""," / "&amp;'H.W&amp;S.W&amp;Services'!F312) &amp; IF('H.W&amp;S.W&amp;Services'!G312=0,""," / "&amp;'H.W&amp;S.W&amp;Services'!G312)</f>
        <v/>
      </c>
      <c r="I298" t="str">
        <f>IF('H.W&amp;S.W&amp;Services'!D312=0,"",'H.W&amp;S.W&amp;Services'!D312)</f>
        <v/>
      </c>
      <c r="J298" s="2" t="str">
        <f>IF('H.W&amp;S.W&amp;Services'!E312=0,"",'H.W&amp;S.W&amp;Services'!E312)</f>
        <v/>
      </c>
    </row>
    <row r="299" spans="1:10" x14ac:dyDescent="0.2">
      <c r="A299" s="2" t="str">
        <f t="shared" ca="1" si="5"/>
        <v/>
      </c>
      <c r="B299" s="2" t="str">
        <f>IF('H.W&amp;S.W&amp;Services'!C313=0,"",'H.W&amp;S.W&amp;Services'!C313)</f>
        <v/>
      </c>
      <c r="C299" s="2" t="str">
        <f>IF('H.W&amp;S.W&amp;Services'!C313=0,"",'H.W&amp;S.W&amp;Services'!C313)</f>
        <v/>
      </c>
      <c r="D299" s="2" t="str">
        <f>IF('H.W&amp;S.W&amp;Services'!H313=0,"",'H.W&amp;S.W&amp;Services'!H313)</f>
        <v/>
      </c>
      <c r="E299" s="2" t="str">
        <f>IF('H.W&amp;S.W&amp;Services'!I313=0,"",'H.W&amp;S.W&amp;Services'!I313)</f>
        <v/>
      </c>
      <c r="F299" s="3" t="str">
        <f>IF('H.W&amp;S.W&amp;Services'!J313=0,"",'H.W&amp;S.W&amp;Services'!J313)</f>
        <v/>
      </c>
      <c r="G299" s="4" t="str">
        <f>IF('H.W&amp;S.W&amp;Services'!O313=0,"",'H.W&amp;S.W&amp;Services'!O313)</f>
        <v/>
      </c>
      <c r="H299" s="2" t="str">
        <f>IF('H.W&amp;S.W&amp;Services'!B313=0,"",'H.W&amp;S.W&amp;Services'!B313) &amp; IF('H.W&amp;S.W&amp;Services'!F313=0,""," / "&amp;'H.W&amp;S.W&amp;Services'!F313) &amp; IF('H.W&amp;S.W&amp;Services'!G313=0,""," / "&amp;'H.W&amp;S.W&amp;Services'!G313)</f>
        <v/>
      </c>
      <c r="I299" t="str">
        <f>IF('H.W&amp;S.W&amp;Services'!D313=0,"",'H.W&amp;S.W&amp;Services'!D313)</f>
        <v/>
      </c>
      <c r="J299" s="2" t="str">
        <f>IF('H.W&amp;S.W&amp;Services'!E313=0,"",'H.W&amp;S.W&amp;Services'!E313)</f>
        <v/>
      </c>
    </row>
    <row r="300" spans="1:10" x14ac:dyDescent="0.2">
      <c r="A300" s="2" t="str">
        <f t="shared" ca="1" si="5"/>
        <v/>
      </c>
      <c r="B300" s="2" t="str">
        <f>IF('H.W&amp;S.W&amp;Services'!C314=0,"",'H.W&amp;S.W&amp;Services'!C314)</f>
        <v/>
      </c>
      <c r="C300" s="2" t="str">
        <f>IF('H.W&amp;S.W&amp;Services'!C314=0,"",'H.W&amp;S.W&amp;Services'!C314)</f>
        <v/>
      </c>
      <c r="D300" s="2" t="str">
        <f>IF('H.W&amp;S.W&amp;Services'!H314=0,"",'H.W&amp;S.W&amp;Services'!H314)</f>
        <v/>
      </c>
      <c r="E300" s="2" t="str">
        <f>IF('H.W&amp;S.W&amp;Services'!I314=0,"",'H.W&amp;S.W&amp;Services'!I314)</f>
        <v/>
      </c>
      <c r="F300" s="3" t="str">
        <f>IF('H.W&amp;S.W&amp;Services'!J314=0,"",'H.W&amp;S.W&amp;Services'!J314)</f>
        <v/>
      </c>
      <c r="G300" s="4" t="str">
        <f>IF('H.W&amp;S.W&amp;Services'!O314=0,"",'H.W&amp;S.W&amp;Services'!O314)</f>
        <v/>
      </c>
      <c r="H300" s="2" t="str">
        <f>IF('H.W&amp;S.W&amp;Services'!B314=0,"",'H.W&amp;S.W&amp;Services'!B314) &amp; IF('H.W&amp;S.W&amp;Services'!F314=0,""," / "&amp;'H.W&amp;S.W&amp;Services'!F314) &amp; IF('H.W&amp;S.W&amp;Services'!G314=0,""," / "&amp;'H.W&amp;S.W&amp;Services'!G314)</f>
        <v/>
      </c>
      <c r="I300" t="str">
        <f>IF('H.W&amp;S.W&amp;Services'!D314=0,"",'H.W&amp;S.W&amp;Services'!D314)</f>
        <v/>
      </c>
      <c r="J300" s="2" t="str">
        <f>IF('H.W&amp;S.W&amp;Services'!E314=0,"",'H.W&amp;S.W&amp;Services'!E314)</f>
        <v/>
      </c>
    </row>
    <row r="301" spans="1:10" x14ac:dyDescent="0.2">
      <c r="A301" s="2" t="str">
        <f t="shared" ca="1" si="5"/>
        <v/>
      </c>
      <c r="B301" s="2" t="str">
        <f>IF('H.W&amp;S.W&amp;Services'!C315=0,"",'H.W&amp;S.W&amp;Services'!C315)</f>
        <v/>
      </c>
      <c r="C301" s="2" t="str">
        <f>IF('H.W&amp;S.W&amp;Services'!C315=0,"",'H.W&amp;S.W&amp;Services'!C315)</f>
        <v/>
      </c>
      <c r="D301" s="2" t="str">
        <f>IF('H.W&amp;S.W&amp;Services'!H315=0,"",'H.W&amp;S.W&amp;Services'!H315)</f>
        <v/>
      </c>
      <c r="E301" s="2" t="str">
        <f>IF('H.W&amp;S.W&amp;Services'!I315=0,"",'H.W&amp;S.W&amp;Services'!I315)</f>
        <v/>
      </c>
      <c r="F301" s="3" t="str">
        <f>IF('H.W&amp;S.W&amp;Services'!J315=0,"",'H.W&amp;S.W&amp;Services'!J315)</f>
        <v/>
      </c>
      <c r="G301" s="4" t="str">
        <f>IF('H.W&amp;S.W&amp;Services'!O315=0,"",'H.W&amp;S.W&amp;Services'!O315)</f>
        <v/>
      </c>
      <c r="H301" s="2" t="str">
        <f>IF('H.W&amp;S.W&amp;Services'!B315=0,"",'H.W&amp;S.W&amp;Services'!B315) &amp; IF('H.W&amp;S.W&amp;Services'!F315=0,""," / "&amp;'H.W&amp;S.W&amp;Services'!F315) &amp; IF('H.W&amp;S.W&amp;Services'!G315=0,""," / "&amp;'H.W&amp;S.W&amp;Services'!G315)</f>
        <v/>
      </c>
      <c r="I301" t="str">
        <f>IF('H.W&amp;S.W&amp;Services'!D315=0,"",'H.W&amp;S.W&amp;Services'!D315)</f>
        <v/>
      </c>
      <c r="J301" s="2" t="str">
        <f>IF('H.W&amp;S.W&amp;Services'!E315=0,"",'H.W&amp;S.W&amp;Services'!E315)</f>
        <v/>
      </c>
    </row>
    <row r="302" spans="1:10" x14ac:dyDescent="0.2">
      <c r="A302" s="2" t="str">
        <f t="shared" ca="1" si="5"/>
        <v/>
      </c>
      <c r="B302" s="2" t="str">
        <f>IF('H.W&amp;S.W&amp;Services'!C316=0,"",'H.W&amp;S.W&amp;Services'!C316)</f>
        <v/>
      </c>
      <c r="C302" s="2" t="str">
        <f>IF('H.W&amp;S.W&amp;Services'!C316=0,"",'H.W&amp;S.W&amp;Services'!C316)</f>
        <v/>
      </c>
      <c r="D302" s="2" t="str">
        <f>IF('H.W&amp;S.W&amp;Services'!H316=0,"",'H.W&amp;S.W&amp;Services'!H316)</f>
        <v/>
      </c>
      <c r="E302" s="2" t="str">
        <f>IF('H.W&amp;S.W&amp;Services'!I316=0,"",'H.W&amp;S.W&amp;Services'!I316)</f>
        <v/>
      </c>
      <c r="F302" s="3" t="str">
        <f>IF('H.W&amp;S.W&amp;Services'!J316=0,"",'H.W&amp;S.W&amp;Services'!J316)</f>
        <v/>
      </c>
      <c r="G302" s="4" t="str">
        <f>IF('H.W&amp;S.W&amp;Services'!O316=0,"",'H.W&amp;S.W&amp;Services'!O316)</f>
        <v/>
      </c>
      <c r="H302" s="2" t="str">
        <f>IF('H.W&amp;S.W&amp;Services'!B316=0,"",'H.W&amp;S.W&amp;Services'!B316) &amp; IF('H.W&amp;S.W&amp;Services'!F316=0,""," / "&amp;'H.W&amp;S.W&amp;Services'!F316) &amp; IF('H.W&amp;S.W&amp;Services'!G316=0,""," / "&amp;'H.W&amp;S.W&amp;Services'!G316)</f>
        <v/>
      </c>
      <c r="I302" t="str">
        <f>IF('H.W&amp;S.W&amp;Services'!D316=0,"",'H.W&amp;S.W&amp;Services'!D316)</f>
        <v/>
      </c>
      <c r="J302" s="2" t="str">
        <f>IF('H.W&amp;S.W&amp;Services'!E316=0,"",'H.W&amp;S.W&amp;Services'!E316)</f>
        <v/>
      </c>
    </row>
    <row r="303" spans="1:10" x14ac:dyDescent="0.2">
      <c r="A303" s="2" t="str">
        <f t="shared" ca="1" si="5"/>
        <v/>
      </c>
      <c r="B303" s="2" t="str">
        <f>IF('H.W&amp;S.W&amp;Services'!C317=0,"",'H.W&amp;S.W&amp;Services'!C317)</f>
        <v/>
      </c>
      <c r="C303" s="2" t="str">
        <f>IF('H.W&amp;S.W&amp;Services'!C317=0,"",'H.W&amp;S.W&amp;Services'!C317)</f>
        <v/>
      </c>
      <c r="D303" s="2" t="str">
        <f>IF('H.W&amp;S.W&amp;Services'!H317=0,"",'H.W&amp;S.W&amp;Services'!H317)</f>
        <v/>
      </c>
      <c r="E303" s="2" t="str">
        <f>IF('H.W&amp;S.W&amp;Services'!I317=0,"",'H.W&amp;S.W&amp;Services'!I317)</f>
        <v/>
      </c>
      <c r="F303" s="3" t="str">
        <f>IF('H.W&amp;S.W&amp;Services'!J317=0,"",'H.W&amp;S.W&amp;Services'!J317)</f>
        <v/>
      </c>
      <c r="G303" s="4" t="str">
        <f>IF('H.W&amp;S.W&amp;Services'!O317=0,"",'H.W&amp;S.W&amp;Services'!O317)</f>
        <v/>
      </c>
      <c r="H303" s="2" t="str">
        <f>IF('H.W&amp;S.W&amp;Services'!B317=0,"",'H.W&amp;S.W&amp;Services'!B317) &amp; IF('H.W&amp;S.W&amp;Services'!F317=0,""," / "&amp;'H.W&amp;S.W&amp;Services'!F317) &amp; IF('H.W&amp;S.W&amp;Services'!G317=0,""," / "&amp;'H.W&amp;S.W&amp;Services'!G317)</f>
        <v/>
      </c>
      <c r="I303" t="str">
        <f>IF('H.W&amp;S.W&amp;Services'!D317=0,"",'H.W&amp;S.W&amp;Services'!D317)</f>
        <v/>
      </c>
      <c r="J303" s="2" t="str">
        <f>IF('H.W&amp;S.W&amp;Services'!E317=0,"",'H.W&amp;S.W&amp;Services'!E317)</f>
        <v/>
      </c>
    </row>
    <row r="304" spans="1:10" x14ac:dyDescent="0.2">
      <c r="A304" s="2" t="str">
        <f t="shared" ca="1" si="5"/>
        <v/>
      </c>
      <c r="B304" s="2" t="str">
        <f>IF('H.W&amp;S.W&amp;Services'!C318=0,"",'H.W&amp;S.W&amp;Services'!C318)</f>
        <v/>
      </c>
      <c r="C304" s="2" t="str">
        <f>IF('H.W&amp;S.W&amp;Services'!C318=0,"",'H.W&amp;S.W&amp;Services'!C318)</f>
        <v/>
      </c>
      <c r="D304" s="2" t="str">
        <f>IF('H.W&amp;S.W&amp;Services'!H318=0,"",'H.W&amp;S.W&amp;Services'!H318)</f>
        <v/>
      </c>
      <c r="E304" s="2" t="str">
        <f>IF('H.W&amp;S.W&amp;Services'!I318=0,"",'H.W&amp;S.W&amp;Services'!I318)</f>
        <v/>
      </c>
      <c r="F304" s="3" t="str">
        <f>IF('H.W&amp;S.W&amp;Services'!J318=0,"",'H.W&amp;S.W&amp;Services'!J318)</f>
        <v/>
      </c>
      <c r="G304" s="4" t="str">
        <f>IF('H.W&amp;S.W&amp;Services'!O318=0,"",'H.W&amp;S.W&amp;Services'!O318)</f>
        <v/>
      </c>
      <c r="H304" s="2" t="str">
        <f>IF('H.W&amp;S.W&amp;Services'!B318=0,"",'H.W&amp;S.W&amp;Services'!B318) &amp; IF('H.W&amp;S.W&amp;Services'!F318=0,""," / "&amp;'H.W&amp;S.W&amp;Services'!F318) &amp; IF('H.W&amp;S.W&amp;Services'!G318=0,""," / "&amp;'H.W&amp;S.W&amp;Services'!G318)</f>
        <v/>
      </c>
      <c r="I304" t="str">
        <f>IF('H.W&amp;S.W&amp;Services'!D318=0,"",'H.W&amp;S.W&amp;Services'!D318)</f>
        <v/>
      </c>
      <c r="J304" s="2" t="str">
        <f>IF('H.W&amp;S.W&amp;Services'!E318=0,"",'H.W&amp;S.W&amp;Services'!E318)</f>
        <v/>
      </c>
    </row>
    <row r="305" spans="1:10" x14ac:dyDescent="0.2">
      <c r="A305" s="2" t="str">
        <f t="shared" ca="1" si="5"/>
        <v/>
      </c>
      <c r="B305" s="2" t="str">
        <f>IF('H.W&amp;S.W&amp;Services'!C319=0,"",'H.W&amp;S.W&amp;Services'!C319)</f>
        <v/>
      </c>
      <c r="C305" s="2" t="str">
        <f>IF('H.W&amp;S.W&amp;Services'!C319=0,"",'H.W&amp;S.W&amp;Services'!C319)</f>
        <v/>
      </c>
      <c r="D305" s="2" t="str">
        <f>IF('H.W&amp;S.W&amp;Services'!H319=0,"",'H.W&amp;S.W&amp;Services'!H319)</f>
        <v/>
      </c>
      <c r="E305" s="2" t="str">
        <f>IF('H.W&amp;S.W&amp;Services'!I319=0,"",'H.W&amp;S.W&amp;Services'!I319)</f>
        <v/>
      </c>
      <c r="F305" s="3" t="str">
        <f>IF('H.W&amp;S.W&amp;Services'!J319=0,"",'H.W&amp;S.W&amp;Services'!J319)</f>
        <v/>
      </c>
      <c r="G305" s="4" t="str">
        <f>IF('H.W&amp;S.W&amp;Services'!O319=0,"",'H.W&amp;S.W&amp;Services'!O319)</f>
        <v/>
      </c>
      <c r="H305" s="2" t="str">
        <f>IF('H.W&amp;S.W&amp;Services'!B319=0,"",'H.W&amp;S.W&amp;Services'!B319) &amp; IF('H.W&amp;S.W&amp;Services'!F319=0,""," / "&amp;'H.W&amp;S.W&amp;Services'!F319) &amp; IF('H.W&amp;S.W&amp;Services'!G319=0,""," / "&amp;'H.W&amp;S.W&amp;Services'!G319)</f>
        <v/>
      </c>
      <c r="I305" t="str">
        <f>IF('H.W&amp;S.W&amp;Services'!D319=0,"",'H.W&amp;S.W&amp;Services'!D319)</f>
        <v/>
      </c>
      <c r="J305" s="2" t="str">
        <f>IF('H.W&amp;S.W&amp;Services'!E319=0,"",'H.W&amp;S.W&amp;Services'!E319)</f>
        <v/>
      </c>
    </row>
    <row r="306" spans="1:10" x14ac:dyDescent="0.2">
      <c r="A306" s="2" t="str">
        <f t="shared" ca="1" si="5"/>
        <v/>
      </c>
      <c r="B306" s="2" t="str">
        <f>IF('H.W&amp;S.W&amp;Services'!C320=0,"",'H.W&amp;S.W&amp;Services'!C320)</f>
        <v/>
      </c>
      <c r="C306" s="2" t="str">
        <f>IF('H.W&amp;S.W&amp;Services'!C320=0,"",'H.W&amp;S.W&amp;Services'!C320)</f>
        <v/>
      </c>
      <c r="D306" s="2" t="str">
        <f>IF('H.W&amp;S.W&amp;Services'!H320=0,"",'H.W&amp;S.W&amp;Services'!H320)</f>
        <v/>
      </c>
      <c r="E306" s="2" t="str">
        <f>IF('H.W&amp;S.W&amp;Services'!I320=0,"",'H.W&amp;S.W&amp;Services'!I320)</f>
        <v/>
      </c>
      <c r="F306" s="3" t="str">
        <f>IF('H.W&amp;S.W&amp;Services'!J320=0,"",'H.W&amp;S.W&amp;Services'!J320)</f>
        <v/>
      </c>
      <c r="G306" s="4" t="str">
        <f>IF('H.W&amp;S.W&amp;Services'!O320=0,"",'H.W&amp;S.W&amp;Services'!O320)</f>
        <v/>
      </c>
      <c r="H306" s="2" t="str">
        <f>IF('H.W&amp;S.W&amp;Services'!B320=0,"",'H.W&amp;S.W&amp;Services'!B320) &amp; IF('H.W&amp;S.W&amp;Services'!F320=0,""," / "&amp;'H.W&amp;S.W&amp;Services'!F320) &amp; IF('H.W&amp;S.W&amp;Services'!G320=0,""," / "&amp;'H.W&amp;S.W&amp;Services'!G320)</f>
        <v/>
      </c>
      <c r="I306" t="str">
        <f>IF('H.W&amp;S.W&amp;Services'!D320=0,"",'H.W&amp;S.W&amp;Services'!D320)</f>
        <v/>
      </c>
      <c r="J306" s="2" t="str">
        <f>IF('H.W&amp;S.W&amp;Services'!E320=0,"",'H.W&amp;S.W&amp;Services'!E320)</f>
        <v/>
      </c>
    </row>
    <row r="307" spans="1:10" x14ac:dyDescent="0.2">
      <c r="A307" s="2" t="str">
        <f t="shared" ca="1" si="5"/>
        <v/>
      </c>
      <c r="B307" s="2" t="str">
        <f>IF('H.W&amp;S.W&amp;Services'!C321=0,"",'H.W&amp;S.W&amp;Services'!C321)</f>
        <v/>
      </c>
      <c r="C307" s="2" t="str">
        <f>IF('H.W&amp;S.W&amp;Services'!C321=0,"",'H.W&amp;S.W&amp;Services'!C321)</f>
        <v/>
      </c>
      <c r="D307" s="2" t="str">
        <f>IF('H.W&amp;S.W&amp;Services'!H321=0,"",'H.W&amp;S.W&amp;Services'!H321)</f>
        <v/>
      </c>
      <c r="E307" s="2" t="str">
        <f>IF('H.W&amp;S.W&amp;Services'!I321=0,"",'H.W&amp;S.W&amp;Services'!I321)</f>
        <v/>
      </c>
      <c r="F307" s="3" t="str">
        <f>IF('H.W&amp;S.W&amp;Services'!J321=0,"",'H.W&amp;S.W&amp;Services'!J321)</f>
        <v/>
      </c>
      <c r="G307" s="4" t="str">
        <f>IF('H.W&amp;S.W&amp;Services'!O321=0,"",'H.W&amp;S.W&amp;Services'!O321)</f>
        <v/>
      </c>
      <c r="H307" s="2" t="str">
        <f>IF('H.W&amp;S.W&amp;Services'!B321=0,"",'H.W&amp;S.W&amp;Services'!B321) &amp; IF('H.W&amp;S.W&amp;Services'!F321=0,""," / "&amp;'H.W&amp;S.W&amp;Services'!F321) &amp; IF('H.W&amp;S.W&amp;Services'!G321=0,""," / "&amp;'H.W&amp;S.W&amp;Services'!G321)</f>
        <v/>
      </c>
      <c r="I307" t="str">
        <f>IF('H.W&amp;S.W&amp;Services'!D321=0,"",'H.W&amp;S.W&amp;Services'!D321)</f>
        <v/>
      </c>
      <c r="J307" s="2" t="str">
        <f>IF('H.W&amp;S.W&amp;Services'!E321=0,"",'H.W&amp;S.W&amp;Services'!E321)</f>
        <v/>
      </c>
    </row>
    <row r="308" spans="1:10" x14ac:dyDescent="0.2">
      <c r="A308" s="2" t="str">
        <f t="shared" ca="1" si="5"/>
        <v/>
      </c>
      <c r="B308" s="2" t="str">
        <f>IF('H.W&amp;S.W&amp;Services'!C322=0,"",'H.W&amp;S.W&amp;Services'!C322)</f>
        <v/>
      </c>
      <c r="C308" s="2" t="str">
        <f>IF('H.W&amp;S.W&amp;Services'!C322=0,"",'H.W&amp;S.W&amp;Services'!C322)</f>
        <v/>
      </c>
      <c r="D308" s="2" t="str">
        <f>IF('H.W&amp;S.W&amp;Services'!H322=0,"",'H.W&amp;S.W&amp;Services'!H322)</f>
        <v/>
      </c>
      <c r="E308" s="2" t="str">
        <f>IF('H.W&amp;S.W&amp;Services'!I322=0,"",'H.W&amp;S.W&amp;Services'!I322)</f>
        <v/>
      </c>
      <c r="F308" s="3" t="str">
        <f>IF('H.W&amp;S.W&amp;Services'!J322=0,"",'H.W&amp;S.W&amp;Services'!J322)</f>
        <v/>
      </c>
      <c r="G308" s="4" t="str">
        <f>IF('H.W&amp;S.W&amp;Services'!O322=0,"",'H.W&amp;S.W&amp;Services'!O322)</f>
        <v/>
      </c>
      <c r="H308" s="2" t="str">
        <f>IF('H.W&amp;S.W&amp;Services'!B322=0,"",'H.W&amp;S.W&amp;Services'!B322) &amp; IF('H.W&amp;S.W&amp;Services'!F322=0,""," / "&amp;'H.W&amp;S.W&amp;Services'!F322) &amp; IF('H.W&amp;S.W&amp;Services'!G322=0,""," / "&amp;'H.W&amp;S.W&amp;Services'!G322)</f>
        <v/>
      </c>
      <c r="I308" t="str">
        <f>IF('H.W&amp;S.W&amp;Services'!D322=0,"",'H.W&amp;S.W&amp;Services'!D322)</f>
        <v/>
      </c>
      <c r="J308" s="2" t="str">
        <f>IF('H.W&amp;S.W&amp;Services'!E322=0,"",'H.W&amp;S.W&amp;Services'!E322)</f>
        <v/>
      </c>
    </row>
    <row r="309" spans="1:10" x14ac:dyDescent="0.2">
      <c r="A309" s="2" t="str">
        <f t="shared" ca="1" si="5"/>
        <v/>
      </c>
      <c r="B309" s="2" t="str">
        <f>IF('H.W&amp;S.W&amp;Services'!C323=0,"",'H.W&amp;S.W&amp;Services'!C323)</f>
        <v/>
      </c>
      <c r="C309" s="2" t="str">
        <f>IF('H.W&amp;S.W&amp;Services'!C323=0,"",'H.W&amp;S.W&amp;Services'!C323)</f>
        <v/>
      </c>
      <c r="D309" s="2" t="str">
        <f>IF('H.W&amp;S.W&amp;Services'!H323=0,"",'H.W&amp;S.W&amp;Services'!H323)</f>
        <v/>
      </c>
      <c r="E309" s="2" t="str">
        <f>IF('H.W&amp;S.W&amp;Services'!I323=0,"",'H.W&amp;S.W&amp;Services'!I323)</f>
        <v/>
      </c>
      <c r="F309" s="3" t="str">
        <f>IF('H.W&amp;S.W&amp;Services'!J323=0,"",'H.W&amp;S.W&amp;Services'!J323)</f>
        <v/>
      </c>
      <c r="G309" s="4" t="str">
        <f>IF('H.W&amp;S.W&amp;Services'!O323=0,"",'H.W&amp;S.W&amp;Services'!O323)</f>
        <v/>
      </c>
      <c r="H309" s="2" t="str">
        <f>IF('H.W&amp;S.W&amp;Services'!B323=0,"",'H.W&amp;S.W&amp;Services'!B323) &amp; IF('H.W&amp;S.W&amp;Services'!F323=0,""," / "&amp;'H.W&amp;S.W&amp;Services'!F323) &amp; IF('H.W&amp;S.W&amp;Services'!G323=0,""," / "&amp;'H.W&amp;S.W&amp;Services'!G323)</f>
        <v/>
      </c>
      <c r="I309" t="str">
        <f>IF('H.W&amp;S.W&amp;Services'!D323=0,"",'H.W&amp;S.W&amp;Services'!D323)</f>
        <v/>
      </c>
      <c r="J309" s="2" t="str">
        <f>IF('H.W&amp;S.W&amp;Services'!E323=0,"",'H.W&amp;S.W&amp;Services'!E323)</f>
        <v/>
      </c>
    </row>
    <row r="310" spans="1:10" x14ac:dyDescent="0.2">
      <c r="A310" s="2" t="str">
        <f t="shared" ca="1" si="5"/>
        <v/>
      </c>
      <c r="B310" s="2" t="str">
        <f>IF('H.W&amp;S.W&amp;Services'!C324=0,"",'H.W&amp;S.W&amp;Services'!C324)</f>
        <v/>
      </c>
      <c r="C310" s="2" t="str">
        <f>IF('H.W&amp;S.W&amp;Services'!C324=0,"",'H.W&amp;S.W&amp;Services'!C324)</f>
        <v/>
      </c>
      <c r="D310" s="2" t="str">
        <f>IF('H.W&amp;S.W&amp;Services'!H324=0,"",'H.W&amp;S.W&amp;Services'!H324)</f>
        <v/>
      </c>
      <c r="E310" s="2" t="str">
        <f>IF('H.W&amp;S.W&amp;Services'!I324=0,"",'H.W&amp;S.W&amp;Services'!I324)</f>
        <v/>
      </c>
      <c r="F310" s="3" t="str">
        <f>IF('H.W&amp;S.W&amp;Services'!J324=0,"",'H.W&amp;S.W&amp;Services'!J324)</f>
        <v/>
      </c>
      <c r="G310" s="4" t="str">
        <f>IF('H.W&amp;S.W&amp;Services'!O324=0,"",'H.W&amp;S.W&amp;Services'!O324)</f>
        <v/>
      </c>
      <c r="H310" s="2" t="str">
        <f>IF('H.W&amp;S.W&amp;Services'!B324=0,"",'H.W&amp;S.W&amp;Services'!B324) &amp; IF('H.W&amp;S.W&amp;Services'!F324=0,""," / "&amp;'H.W&amp;S.W&amp;Services'!F324) &amp; IF('H.W&amp;S.W&amp;Services'!G324=0,""," / "&amp;'H.W&amp;S.W&amp;Services'!G324)</f>
        <v/>
      </c>
      <c r="I310" t="str">
        <f>IF('H.W&amp;S.W&amp;Services'!D324=0,"",'H.W&amp;S.W&amp;Services'!D324)</f>
        <v/>
      </c>
      <c r="J310" s="2" t="str">
        <f>IF('H.W&amp;S.W&amp;Services'!E324=0,"",'H.W&amp;S.W&amp;Services'!E324)</f>
        <v/>
      </c>
    </row>
    <row r="311" spans="1:10" x14ac:dyDescent="0.2">
      <c r="A311" s="2" t="str">
        <f t="shared" ca="1" si="5"/>
        <v/>
      </c>
      <c r="B311" s="2" t="str">
        <f>IF('H.W&amp;S.W&amp;Services'!C325=0,"",'H.W&amp;S.W&amp;Services'!C325)</f>
        <v/>
      </c>
      <c r="C311" s="2" t="str">
        <f>IF('H.W&amp;S.W&amp;Services'!C325=0,"",'H.W&amp;S.W&amp;Services'!C325)</f>
        <v/>
      </c>
      <c r="D311" s="2" t="str">
        <f>IF('H.W&amp;S.W&amp;Services'!H325=0,"",'H.W&amp;S.W&amp;Services'!H325)</f>
        <v/>
      </c>
      <c r="E311" s="2" t="str">
        <f>IF('H.W&amp;S.W&amp;Services'!I325=0,"",'H.W&amp;S.W&amp;Services'!I325)</f>
        <v/>
      </c>
      <c r="F311" s="3" t="str">
        <f>IF('H.W&amp;S.W&amp;Services'!J325=0,"",'H.W&amp;S.W&amp;Services'!J325)</f>
        <v/>
      </c>
      <c r="G311" s="4" t="str">
        <f>IF('H.W&amp;S.W&amp;Services'!O325=0,"",'H.W&amp;S.W&amp;Services'!O325)</f>
        <v/>
      </c>
      <c r="H311" s="2" t="str">
        <f>IF('H.W&amp;S.W&amp;Services'!B325=0,"",'H.W&amp;S.W&amp;Services'!B325) &amp; IF('H.W&amp;S.W&amp;Services'!F325=0,""," / "&amp;'H.W&amp;S.W&amp;Services'!F325) &amp; IF('H.W&amp;S.W&amp;Services'!G325=0,""," / "&amp;'H.W&amp;S.W&amp;Services'!G325)</f>
        <v/>
      </c>
      <c r="I311" t="str">
        <f>IF('H.W&amp;S.W&amp;Services'!D325=0,"",'H.W&amp;S.W&amp;Services'!D325)</f>
        <v/>
      </c>
      <c r="J311" s="2" t="str">
        <f>IF('H.W&amp;S.W&amp;Services'!E325=0,"",'H.W&amp;S.W&amp;Services'!E325)</f>
        <v/>
      </c>
    </row>
    <row r="312" spans="1:10" x14ac:dyDescent="0.2">
      <c r="A312" s="2" t="str">
        <f t="shared" ca="1" si="5"/>
        <v/>
      </c>
      <c r="B312" s="2" t="str">
        <f>IF('H.W&amp;S.W&amp;Services'!C326=0,"",'H.W&amp;S.W&amp;Services'!C326)</f>
        <v/>
      </c>
      <c r="C312" s="2" t="str">
        <f>IF('H.W&amp;S.W&amp;Services'!C326=0,"",'H.W&amp;S.W&amp;Services'!C326)</f>
        <v/>
      </c>
      <c r="D312" s="2" t="str">
        <f>IF('H.W&amp;S.W&amp;Services'!H326=0,"",'H.W&amp;S.W&amp;Services'!H326)</f>
        <v/>
      </c>
      <c r="E312" s="2" t="str">
        <f>IF('H.W&amp;S.W&amp;Services'!I326=0,"",'H.W&amp;S.W&amp;Services'!I326)</f>
        <v/>
      </c>
      <c r="F312" s="3" t="str">
        <f>IF('H.W&amp;S.W&amp;Services'!J326=0,"",'H.W&amp;S.W&amp;Services'!J326)</f>
        <v/>
      </c>
      <c r="G312" s="4" t="str">
        <f>IF('H.W&amp;S.W&amp;Services'!O326=0,"",'H.W&amp;S.W&amp;Services'!O326)</f>
        <v/>
      </c>
      <c r="H312" s="2" t="str">
        <f>IF('H.W&amp;S.W&amp;Services'!B326=0,"",'H.W&amp;S.W&amp;Services'!B326) &amp; IF('H.W&amp;S.W&amp;Services'!F326=0,""," / "&amp;'H.W&amp;S.W&amp;Services'!F326) &amp; IF('H.W&amp;S.W&amp;Services'!G326=0,""," / "&amp;'H.W&amp;S.W&amp;Services'!G326)</f>
        <v/>
      </c>
      <c r="I312" t="str">
        <f>IF('H.W&amp;S.W&amp;Services'!D326=0,"",'H.W&amp;S.W&amp;Services'!D326)</f>
        <v/>
      </c>
      <c r="J312" s="2" t="str">
        <f>IF('H.W&amp;S.W&amp;Services'!E326=0,"",'H.W&amp;S.W&amp;Services'!E326)</f>
        <v/>
      </c>
    </row>
    <row r="313" spans="1:10" x14ac:dyDescent="0.2">
      <c r="A313" s="2" t="str">
        <f t="shared" ca="1" si="5"/>
        <v/>
      </c>
      <c r="B313" s="2" t="str">
        <f>IF('H.W&amp;S.W&amp;Services'!C327=0,"",'H.W&amp;S.W&amp;Services'!C327)</f>
        <v/>
      </c>
      <c r="C313" s="2" t="str">
        <f>IF('H.W&amp;S.W&amp;Services'!C327=0,"",'H.W&amp;S.W&amp;Services'!C327)</f>
        <v/>
      </c>
      <c r="D313" s="2" t="str">
        <f>IF('H.W&amp;S.W&amp;Services'!H327=0,"",'H.W&amp;S.W&amp;Services'!H327)</f>
        <v/>
      </c>
      <c r="E313" s="2" t="str">
        <f>IF('H.W&amp;S.W&amp;Services'!I327=0,"",'H.W&amp;S.W&amp;Services'!I327)</f>
        <v/>
      </c>
      <c r="F313" s="3" t="str">
        <f>IF('H.W&amp;S.W&amp;Services'!J327=0,"",'H.W&amp;S.W&amp;Services'!J327)</f>
        <v/>
      </c>
      <c r="G313" s="4" t="str">
        <f>IF('H.W&amp;S.W&amp;Services'!O327=0,"",'H.W&amp;S.W&amp;Services'!O327)</f>
        <v/>
      </c>
      <c r="H313" s="2" t="str">
        <f>IF('H.W&amp;S.W&amp;Services'!B327=0,"",'H.W&amp;S.W&amp;Services'!B327) &amp; IF('H.W&amp;S.W&amp;Services'!F327=0,""," / "&amp;'H.W&amp;S.W&amp;Services'!F327) &amp; IF('H.W&amp;S.W&amp;Services'!G327=0,""," / "&amp;'H.W&amp;S.W&amp;Services'!G327)</f>
        <v/>
      </c>
      <c r="I313" t="str">
        <f>IF('H.W&amp;S.W&amp;Services'!D327=0,"",'H.W&amp;S.W&amp;Services'!D327)</f>
        <v/>
      </c>
      <c r="J313" s="2" t="str">
        <f>IF('H.W&amp;S.W&amp;Services'!E327=0,"",'H.W&amp;S.W&amp;Services'!E327)</f>
        <v/>
      </c>
    </row>
    <row r="314" spans="1:10" x14ac:dyDescent="0.2">
      <c r="A314" s="2" t="str">
        <f t="shared" ca="1" si="5"/>
        <v/>
      </c>
      <c r="B314" s="2" t="str">
        <f>IF('H.W&amp;S.W&amp;Services'!C328=0,"",'H.W&amp;S.W&amp;Services'!C328)</f>
        <v/>
      </c>
      <c r="C314" s="2" t="str">
        <f>IF('H.W&amp;S.W&amp;Services'!C328=0,"",'H.W&amp;S.W&amp;Services'!C328)</f>
        <v/>
      </c>
      <c r="D314" s="2" t="str">
        <f>IF('H.W&amp;S.W&amp;Services'!H328=0,"",'H.W&amp;S.W&amp;Services'!H328)</f>
        <v/>
      </c>
      <c r="E314" s="2" t="str">
        <f>IF('H.W&amp;S.W&amp;Services'!I328=0,"",'H.W&amp;S.W&amp;Services'!I328)</f>
        <v/>
      </c>
      <c r="F314" s="3" t="str">
        <f>IF('H.W&amp;S.W&amp;Services'!J328=0,"",'H.W&amp;S.W&amp;Services'!J328)</f>
        <v/>
      </c>
      <c r="G314" s="4" t="str">
        <f>IF('H.W&amp;S.W&amp;Services'!O328=0,"",'H.W&amp;S.W&amp;Services'!O328)</f>
        <v/>
      </c>
      <c r="H314" s="2" t="str">
        <f>IF('H.W&amp;S.W&amp;Services'!B328=0,"",'H.W&amp;S.W&amp;Services'!B328) &amp; IF('H.W&amp;S.W&amp;Services'!F328=0,""," / "&amp;'H.W&amp;S.W&amp;Services'!F328) &amp; IF('H.W&amp;S.W&amp;Services'!G328=0,""," / "&amp;'H.W&amp;S.W&amp;Services'!G328)</f>
        <v/>
      </c>
      <c r="I314" t="str">
        <f>IF('H.W&amp;S.W&amp;Services'!D328=0,"",'H.W&amp;S.W&amp;Services'!D328)</f>
        <v/>
      </c>
      <c r="J314" s="2" t="str">
        <f>IF('H.W&amp;S.W&amp;Services'!E328=0,"",'H.W&amp;S.W&amp;Services'!E328)</f>
        <v/>
      </c>
    </row>
    <row r="315" spans="1:10" x14ac:dyDescent="0.2">
      <c r="A315" s="2" t="str">
        <f t="shared" ca="1" si="5"/>
        <v/>
      </c>
      <c r="B315" s="2" t="str">
        <f>IF('H.W&amp;S.W&amp;Services'!C329=0,"",'H.W&amp;S.W&amp;Services'!C329)</f>
        <v/>
      </c>
      <c r="C315" s="2" t="str">
        <f>IF('H.W&amp;S.W&amp;Services'!C329=0,"",'H.W&amp;S.W&amp;Services'!C329)</f>
        <v/>
      </c>
      <c r="D315" s="2" t="str">
        <f>IF('H.W&amp;S.W&amp;Services'!H329=0,"",'H.W&amp;S.W&amp;Services'!H329)</f>
        <v/>
      </c>
      <c r="E315" s="2" t="str">
        <f>IF('H.W&amp;S.W&amp;Services'!I329=0,"",'H.W&amp;S.W&amp;Services'!I329)</f>
        <v/>
      </c>
      <c r="F315" s="3" t="str">
        <f>IF('H.W&amp;S.W&amp;Services'!J329=0,"",'H.W&amp;S.W&amp;Services'!J329)</f>
        <v/>
      </c>
      <c r="G315" s="4" t="str">
        <f>IF('H.W&amp;S.W&amp;Services'!O329=0,"",'H.W&amp;S.W&amp;Services'!O329)</f>
        <v/>
      </c>
      <c r="H315" s="2" t="str">
        <f>IF('H.W&amp;S.W&amp;Services'!B329=0,"",'H.W&amp;S.W&amp;Services'!B329) &amp; IF('H.W&amp;S.W&amp;Services'!F329=0,""," / "&amp;'H.W&amp;S.W&amp;Services'!F329) &amp; IF('H.W&amp;S.W&amp;Services'!G329=0,""," / "&amp;'H.W&amp;S.W&amp;Services'!G329)</f>
        <v/>
      </c>
      <c r="I315" t="str">
        <f>IF('H.W&amp;S.W&amp;Services'!D329=0,"",'H.W&amp;S.W&amp;Services'!D329)</f>
        <v/>
      </c>
      <c r="J315" s="2" t="str">
        <f>IF('H.W&amp;S.W&amp;Services'!E329=0,"",'H.W&amp;S.W&amp;Services'!E329)</f>
        <v/>
      </c>
    </row>
    <row r="316" spans="1:10" x14ac:dyDescent="0.2">
      <c r="A316" s="2" t="str">
        <f t="shared" ca="1" si="5"/>
        <v/>
      </c>
      <c r="B316" s="2" t="str">
        <f>IF('H.W&amp;S.W&amp;Services'!C330=0,"",'H.W&amp;S.W&amp;Services'!C330)</f>
        <v/>
      </c>
      <c r="C316" s="2" t="str">
        <f>IF('H.W&amp;S.W&amp;Services'!C330=0,"",'H.W&amp;S.W&amp;Services'!C330)</f>
        <v/>
      </c>
      <c r="D316" s="2" t="str">
        <f>IF('H.W&amp;S.W&amp;Services'!H330=0,"",'H.W&amp;S.W&amp;Services'!H330)</f>
        <v/>
      </c>
      <c r="E316" s="2" t="str">
        <f>IF('H.W&amp;S.W&amp;Services'!I330=0,"",'H.W&amp;S.W&amp;Services'!I330)</f>
        <v/>
      </c>
      <c r="F316" s="3" t="str">
        <f>IF('H.W&amp;S.W&amp;Services'!J330=0,"",'H.W&amp;S.W&amp;Services'!J330)</f>
        <v/>
      </c>
      <c r="G316" s="4" t="str">
        <f>IF('H.W&amp;S.W&amp;Services'!O330=0,"",'H.W&amp;S.W&amp;Services'!O330)</f>
        <v/>
      </c>
      <c r="H316" s="2" t="str">
        <f>IF('H.W&amp;S.W&amp;Services'!B330=0,"",'H.W&amp;S.W&amp;Services'!B330) &amp; IF('H.W&amp;S.W&amp;Services'!F330=0,""," / "&amp;'H.W&amp;S.W&amp;Services'!F330) &amp; IF('H.W&amp;S.W&amp;Services'!G330=0,""," / "&amp;'H.W&amp;S.W&amp;Services'!G330)</f>
        <v/>
      </c>
      <c r="I316" t="str">
        <f>IF('H.W&amp;S.W&amp;Services'!D330=0,"",'H.W&amp;S.W&amp;Services'!D330)</f>
        <v/>
      </c>
      <c r="J316" s="2" t="str">
        <f>IF('H.W&amp;S.W&amp;Services'!E330=0,"",'H.W&amp;S.W&amp;Services'!E330)</f>
        <v/>
      </c>
    </row>
    <row r="317" spans="1:10" x14ac:dyDescent="0.2">
      <c r="A317" s="2" t="str">
        <f t="shared" ca="1" si="5"/>
        <v/>
      </c>
      <c r="B317" s="2" t="str">
        <f>IF('H.W&amp;S.W&amp;Services'!C331=0,"",'H.W&amp;S.W&amp;Services'!C331)</f>
        <v/>
      </c>
      <c r="C317" s="2" t="str">
        <f>IF('H.W&amp;S.W&amp;Services'!C331=0,"",'H.W&amp;S.W&amp;Services'!C331)</f>
        <v/>
      </c>
      <c r="D317" s="2" t="str">
        <f>IF('H.W&amp;S.W&amp;Services'!H331=0,"",'H.W&amp;S.W&amp;Services'!H331)</f>
        <v/>
      </c>
      <c r="E317" s="2" t="str">
        <f>IF('H.W&amp;S.W&amp;Services'!I331=0,"",'H.W&amp;S.W&amp;Services'!I331)</f>
        <v/>
      </c>
      <c r="F317" s="3" t="str">
        <f>IF('H.W&amp;S.W&amp;Services'!J331=0,"",'H.W&amp;S.W&amp;Services'!J331)</f>
        <v/>
      </c>
      <c r="G317" s="4" t="str">
        <f>IF('H.W&amp;S.W&amp;Services'!O331=0,"",'H.W&amp;S.W&amp;Services'!O331)</f>
        <v/>
      </c>
      <c r="H317" s="2" t="str">
        <f>IF('H.W&amp;S.W&amp;Services'!B331=0,"",'H.W&amp;S.W&amp;Services'!B331) &amp; IF('H.W&amp;S.W&amp;Services'!F331=0,""," / "&amp;'H.W&amp;S.W&amp;Services'!F331) &amp; IF('H.W&amp;S.W&amp;Services'!G331=0,""," / "&amp;'H.W&amp;S.W&amp;Services'!G331)</f>
        <v/>
      </c>
      <c r="I317" t="str">
        <f>IF('H.W&amp;S.W&amp;Services'!D331=0,"",'H.W&amp;S.W&amp;Services'!D331)</f>
        <v/>
      </c>
      <c r="J317" s="2" t="str">
        <f>IF('H.W&amp;S.W&amp;Services'!E331=0,"",'H.W&amp;S.W&amp;Services'!E331)</f>
        <v/>
      </c>
    </row>
    <row r="318" spans="1:10" x14ac:dyDescent="0.2">
      <c r="A318" s="2" t="str">
        <f t="shared" ca="1" si="5"/>
        <v/>
      </c>
      <c r="B318" s="2" t="str">
        <f>IF('H.W&amp;S.W&amp;Services'!C332=0,"",'H.W&amp;S.W&amp;Services'!C332)</f>
        <v/>
      </c>
      <c r="C318" s="2" t="str">
        <f>IF('H.W&amp;S.W&amp;Services'!C332=0,"",'H.W&amp;S.W&amp;Services'!C332)</f>
        <v/>
      </c>
      <c r="D318" s="2" t="str">
        <f>IF('H.W&amp;S.W&amp;Services'!H332=0,"",'H.W&amp;S.W&amp;Services'!H332)</f>
        <v/>
      </c>
      <c r="E318" s="2" t="str">
        <f>IF('H.W&amp;S.W&amp;Services'!I332=0,"",'H.W&amp;S.W&amp;Services'!I332)</f>
        <v/>
      </c>
      <c r="F318" s="3" t="str">
        <f>IF('H.W&amp;S.W&amp;Services'!J332=0,"",'H.W&amp;S.W&amp;Services'!J332)</f>
        <v/>
      </c>
      <c r="G318" s="4" t="str">
        <f>IF('H.W&amp;S.W&amp;Services'!O332=0,"",'H.W&amp;S.W&amp;Services'!O332)</f>
        <v/>
      </c>
      <c r="H318" s="2" t="str">
        <f>IF('H.W&amp;S.W&amp;Services'!B332=0,"",'H.W&amp;S.W&amp;Services'!B332) &amp; IF('H.W&amp;S.W&amp;Services'!F332=0,""," / "&amp;'H.W&amp;S.W&amp;Services'!F332) &amp; IF('H.W&amp;S.W&amp;Services'!G332=0,""," / "&amp;'H.W&amp;S.W&amp;Services'!G332)</f>
        <v/>
      </c>
      <c r="I318" t="str">
        <f>IF('H.W&amp;S.W&amp;Services'!D332=0,"",'H.W&amp;S.W&amp;Services'!D332)</f>
        <v/>
      </c>
      <c r="J318" s="2" t="str">
        <f>IF('H.W&amp;S.W&amp;Services'!E332=0,"",'H.W&amp;S.W&amp;Services'!E332)</f>
        <v/>
      </c>
    </row>
    <row r="319" spans="1:10" x14ac:dyDescent="0.2">
      <c r="A319" s="2" t="str">
        <f t="shared" ca="1" si="5"/>
        <v/>
      </c>
      <c r="B319" s="2" t="str">
        <f>IF('H.W&amp;S.W&amp;Services'!C333=0,"",'H.W&amp;S.W&amp;Services'!C333)</f>
        <v/>
      </c>
      <c r="C319" s="2" t="str">
        <f>IF('H.W&amp;S.W&amp;Services'!C333=0,"",'H.W&amp;S.W&amp;Services'!C333)</f>
        <v/>
      </c>
      <c r="D319" s="2" t="str">
        <f>IF('H.W&amp;S.W&amp;Services'!H333=0,"",'H.W&amp;S.W&amp;Services'!H333)</f>
        <v/>
      </c>
      <c r="E319" s="2" t="str">
        <f>IF('H.W&amp;S.W&amp;Services'!I333=0,"",'H.W&amp;S.W&amp;Services'!I333)</f>
        <v/>
      </c>
      <c r="F319" s="3" t="str">
        <f>IF('H.W&amp;S.W&amp;Services'!J333=0,"",'H.W&amp;S.W&amp;Services'!J333)</f>
        <v/>
      </c>
      <c r="G319" s="4" t="str">
        <f>IF('H.W&amp;S.W&amp;Services'!O333=0,"",'H.W&amp;S.W&amp;Services'!O333)</f>
        <v/>
      </c>
      <c r="H319" s="2" t="str">
        <f>IF('H.W&amp;S.W&amp;Services'!B333=0,"",'H.W&amp;S.W&amp;Services'!B333) &amp; IF('H.W&amp;S.W&amp;Services'!F333=0,""," / "&amp;'H.W&amp;S.W&amp;Services'!F333) &amp; IF('H.W&amp;S.W&amp;Services'!G333=0,""," / "&amp;'H.W&amp;S.W&amp;Services'!G333)</f>
        <v/>
      </c>
      <c r="I319" t="str">
        <f>IF('H.W&amp;S.W&amp;Services'!D333=0,"",'H.W&amp;S.W&amp;Services'!D333)</f>
        <v/>
      </c>
      <c r="J319" s="2" t="str">
        <f>IF('H.W&amp;S.W&amp;Services'!E333=0,"",'H.W&amp;S.W&amp;Services'!E333)</f>
        <v/>
      </c>
    </row>
    <row r="320" spans="1:10" x14ac:dyDescent="0.2">
      <c r="A320" s="2" t="str">
        <f t="shared" ca="1" si="5"/>
        <v/>
      </c>
      <c r="B320" s="2" t="str">
        <f>IF('H.W&amp;S.W&amp;Services'!C334=0,"",'H.W&amp;S.W&amp;Services'!C334)</f>
        <v/>
      </c>
      <c r="C320" s="2" t="str">
        <f>IF('H.W&amp;S.W&amp;Services'!C334=0,"",'H.W&amp;S.W&amp;Services'!C334)</f>
        <v/>
      </c>
      <c r="D320" s="2" t="str">
        <f>IF('H.W&amp;S.W&amp;Services'!H334=0,"",'H.W&amp;S.W&amp;Services'!H334)</f>
        <v/>
      </c>
      <c r="E320" s="2" t="str">
        <f>IF('H.W&amp;S.W&amp;Services'!I334=0,"",'H.W&amp;S.W&amp;Services'!I334)</f>
        <v/>
      </c>
      <c r="F320" s="3" t="str">
        <f>IF('H.W&amp;S.W&amp;Services'!J334=0,"",'H.W&amp;S.W&amp;Services'!J334)</f>
        <v/>
      </c>
      <c r="G320" s="4" t="str">
        <f>IF('H.W&amp;S.W&amp;Services'!O334=0,"",'H.W&amp;S.W&amp;Services'!O334)</f>
        <v/>
      </c>
      <c r="H320" s="2" t="str">
        <f>IF('H.W&amp;S.W&amp;Services'!B334=0,"",'H.W&amp;S.W&amp;Services'!B334) &amp; IF('H.W&amp;S.W&amp;Services'!F334=0,""," / "&amp;'H.W&amp;S.W&amp;Services'!F334) &amp; IF('H.W&amp;S.W&amp;Services'!G334=0,""," / "&amp;'H.W&amp;S.W&amp;Services'!G334)</f>
        <v/>
      </c>
      <c r="I320" t="str">
        <f>IF('H.W&amp;S.W&amp;Services'!D334=0,"",'H.W&amp;S.W&amp;Services'!D334)</f>
        <v/>
      </c>
      <c r="J320" s="2" t="str">
        <f>IF('H.W&amp;S.W&amp;Services'!E334=0,"",'H.W&amp;S.W&amp;Services'!E334)</f>
        <v/>
      </c>
    </row>
    <row r="321" spans="1:10" x14ac:dyDescent="0.2">
      <c r="A321" s="2" t="str">
        <f t="shared" ca="1" si="5"/>
        <v/>
      </c>
      <c r="B321" s="2" t="str">
        <f>IF('H.W&amp;S.W&amp;Services'!C335=0,"",'H.W&amp;S.W&amp;Services'!C335)</f>
        <v/>
      </c>
      <c r="C321" s="2" t="str">
        <f>IF('H.W&amp;S.W&amp;Services'!C335=0,"",'H.W&amp;S.W&amp;Services'!C335)</f>
        <v/>
      </c>
      <c r="D321" s="2" t="str">
        <f>IF('H.W&amp;S.W&amp;Services'!H335=0,"",'H.W&amp;S.W&amp;Services'!H335)</f>
        <v/>
      </c>
      <c r="E321" s="2" t="str">
        <f>IF('H.W&amp;S.W&amp;Services'!I335=0,"",'H.W&amp;S.W&amp;Services'!I335)</f>
        <v/>
      </c>
      <c r="F321" s="3" t="str">
        <f>IF('H.W&amp;S.W&amp;Services'!J335=0,"",'H.W&amp;S.W&amp;Services'!J335)</f>
        <v/>
      </c>
      <c r="G321" s="4" t="str">
        <f>IF('H.W&amp;S.W&amp;Services'!O335=0,"",'H.W&amp;S.W&amp;Services'!O335)</f>
        <v/>
      </c>
      <c r="H321" s="2" t="str">
        <f>IF('H.W&amp;S.W&amp;Services'!B335=0,"",'H.W&amp;S.W&amp;Services'!B335) &amp; IF('H.W&amp;S.W&amp;Services'!F335=0,""," / "&amp;'H.W&amp;S.W&amp;Services'!F335) &amp; IF('H.W&amp;S.W&amp;Services'!G335=0,""," / "&amp;'H.W&amp;S.W&amp;Services'!G335)</f>
        <v/>
      </c>
      <c r="I321" t="str">
        <f>IF('H.W&amp;S.W&amp;Services'!D335=0,"",'H.W&amp;S.W&amp;Services'!D335)</f>
        <v/>
      </c>
      <c r="J321" s="2" t="str">
        <f>IF('H.W&amp;S.W&amp;Services'!E335=0,"",'H.W&amp;S.W&amp;Services'!E335)</f>
        <v/>
      </c>
    </row>
    <row r="322" spans="1:10" x14ac:dyDescent="0.2">
      <c r="A322" s="2" t="str">
        <f t="shared" ca="1" si="5"/>
        <v/>
      </c>
      <c r="B322" s="2" t="str">
        <f>IF('H.W&amp;S.W&amp;Services'!C336=0,"",'H.W&amp;S.W&amp;Services'!C336)</f>
        <v/>
      </c>
      <c r="C322" s="2" t="str">
        <f>IF('H.W&amp;S.W&amp;Services'!C336=0,"",'H.W&amp;S.W&amp;Services'!C336)</f>
        <v/>
      </c>
      <c r="D322" s="2" t="str">
        <f>IF('H.W&amp;S.W&amp;Services'!H336=0,"",'H.W&amp;S.W&amp;Services'!H336)</f>
        <v/>
      </c>
      <c r="E322" s="2" t="str">
        <f>IF('H.W&amp;S.W&amp;Services'!I336=0,"",'H.W&amp;S.W&amp;Services'!I336)</f>
        <v/>
      </c>
      <c r="F322" s="3" t="str">
        <f>IF('H.W&amp;S.W&amp;Services'!J336=0,"",'H.W&amp;S.W&amp;Services'!J336)</f>
        <v/>
      </c>
      <c r="G322" s="4" t="str">
        <f>IF('H.W&amp;S.W&amp;Services'!O336=0,"",'H.W&amp;S.W&amp;Services'!O336)</f>
        <v/>
      </c>
      <c r="H322" s="2" t="str">
        <f>IF('H.W&amp;S.W&amp;Services'!B336=0,"",'H.W&amp;S.W&amp;Services'!B336) &amp; IF('H.W&amp;S.W&amp;Services'!F336=0,""," / "&amp;'H.W&amp;S.W&amp;Services'!F336) &amp; IF('H.W&amp;S.W&amp;Services'!G336=0,""," / "&amp;'H.W&amp;S.W&amp;Services'!G336)</f>
        <v/>
      </c>
      <c r="I322" t="str">
        <f>IF('H.W&amp;S.W&amp;Services'!D336=0,"",'H.W&amp;S.W&amp;Services'!D336)</f>
        <v/>
      </c>
      <c r="J322" s="2" t="str">
        <f>IF('H.W&amp;S.W&amp;Services'!E336=0,"",'H.W&amp;S.W&amp;Services'!E336)</f>
        <v/>
      </c>
    </row>
    <row r="323" spans="1:10" x14ac:dyDescent="0.2">
      <c r="A323" s="2" t="str">
        <f t="shared" ca="1" si="5"/>
        <v/>
      </c>
      <c r="B323" s="2" t="str">
        <f>IF('H.W&amp;S.W&amp;Services'!C337=0,"",'H.W&amp;S.W&amp;Services'!C337)</f>
        <v/>
      </c>
      <c r="C323" s="2" t="str">
        <f>IF('H.W&amp;S.W&amp;Services'!C337=0,"",'H.W&amp;S.W&amp;Services'!C337)</f>
        <v/>
      </c>
      <c r="D323" s="2" t="str">
        <f>IF('H.W&amp;S.W&amp;Services'!H337=0,"",'H.W&amp;S.W&amp;Services'!H337)</f>
        <v/>
      </c>
      <c r="E323" s="2" t="str">
        <f>IF('H.W&amp;S.W&amp;Services'!I337=0,"",'H.W&amp;S.W&amp;Services'!I337)</f>
        <v/>
      </c>
      <c r="F323" s="3" t="str">
        <f>IF('H.W&amp;S.W&amp;Services'!J337=0,"",'H.W&amp;S.W&amp;Services'!J337)</f>
        <v/>
      </c>
      <c r="G323" s="4" t="str">
        <f>IF('H.W&amp;S.W&amp;Services'!O337=0,"",'H.W&amp;S.W&amp;Services'!O337)</f>
        <v/>
      </c>
      <c r="H323" s="2" t="str">
        <f>IF('H.W&amp;S.W&amp;Services'!B337=0,"",'H.W&amp;S.W&amp;Services'!B337) &amp; IF('H.W&amp;S.W&amp;Services'!F337=0,""," / "&amp;'H.W&amp;S.W&amp;Services'!F337) &amp; IF('H.W&amp;S.W&amp;Services'!G337=0,""," / "&amp;'H.W&amp;S.W&amp;Services'!G337)</f>
        <v/>
      </c>
      <c r="I323" t="str">
        <f>IF('H.W&amp;S.W&amp;Services'!D337=0,"",'H.W&amp;S.W&amp;Services'!D337)</f>
        <v/>
      </c>
      <c r="J323" s="2" t="str">
        <f>IF('H.W&amp;S.W&amp;Services'!E337=0,"",'H.W&amp;S.W&amp;Services'!E337)</f>
        <v/>
      </c>
    </row>
    <row r="324" spans="1:10" x14ac:dyDescent="0.2">
      <c r="A324" s="2" t="str">
        <f t="shared" ca="1" si="5"/>
        <v/>
      </c>
      <c r="B324" s="2" t="str">
        <f>IF('H.W&amp;S.W&amp;Services'!C338=0,"",'H.W&amp;S.W&amp;Services'!C338)</f>
        <v/>
      </c>
      <c r="C324" s="2" t="str">
        <f>IF('H.W&amp;S.W&amp;Services'!C338=0,"",'H.W&amp;S.W&amp;Services'!C338)</f>
        <v/>
      </c>
      <c r="D324" s="2" t="str">
        <f>IF('H.W&amp;S.W&amp;Services'!H338=0,"",'H.W&amp;S.W&amp;Services'!H338)</f>
        <v/>
      </c>
      <c r="E324" s="2" t="str">
        <f>IF('H.W&amp;S.W&amp;Services'!I338=0,"",'H.W&amp;S.W&amp;Services'!I338)</f>
        <v/>
      </c>
      <c r="F324" s="3" t="str">
        <f>IF('H.W&amp;S.W&amp;Services'!J338=0,"",'H.W&amp;S.W&amp;Services'!J338)</f>
        <v/>
      </c>
      <c r="G324" s="4" t="str">
        <f>IF('H.W&amp;S.W&amp;Services'!O338=0,"",'H.W&amp;S.W&amp;Services'!O338)</f>
        <v/>
      </c>
      <c r="H324" s="2" t="str">
        <f>IF('H.W&amp;S.W&amp;Services'!B338=0,"",'H.W&amp;S.W&amp;Services'!B338) &amp; IF('H.W&amp;S.W&amp;Services'!F338=0,""," / "&amp;'H.W&amp;S.W&amp;Services'!F338) &amp; IF('H.W&amp;S.W&amp;Services'!G338=0,""," / "&amp;'H.W&amp;S.W&amp;Services'!G338)</f>
        <v/>
      </c>
      <c r="I324" t="str">
        <f>IF('H.W&amp;S.W&amp;Services'!D338=0,"",'H.W&amp;S.W&amp;Services'!D338)</f>
        <v/>
      </c>
      <c r="J324" s="2" t="str">
        <f>IF('H.W&amp;S.W&amp;Services'!E338=0,"",'H.W&amp;S.W&amp;Services'!E338)</f>
        <v/>
      </c>
    </row>
    <row r="325" spans="1:10" x14ac:dyDescent="0.2">
      <c r="A325" s="2" t="str">
        <f t="shared" ca="1" si="5"/>
        <v/>
      </c>
      <c r="B325" s="2" t="str">
        <f>IF('H.W&amp;S.W&amp;Services'!C339=0,"",'H.W&amp;S.W&amp;Services'!C339)</f>
        <v/>
      </c>
      <c r="C325" s="2" t="str">
        <f>IF('H.W&amp;S.W&amp;Services'!C339=0,"",'H.W&amp;S.W&amp;Services'!C339)</f>
        <v/>
      </c>
      <c r="D325" s="2" t="str">
        <f>IF('H.W&amp;S.W&amp;Services'!H339=0,"",'H.W&amp;S.W&amp;Services'!H339)</f>
        <v/>
      </c>
      <c r="E325" s="2" t="str">
        <f>IF('H.W&amp;S.W&amp;Services'!I339=0,"",'H.W&amp;S.W&amp;Services'!I339)</f>
        <v/>
      </c>
      <c r="F325" s="3" t="str">
        <f>IF('H.W&amp;S.W&amp;Services'!J339=0,"",'H.W&amp;S.W&amp;Services'!J339)</f>
        <v/>
      </c>
      <c r="G325" s="4" t="str">
        <f>IF('H.W&amp;S.W&amp;Services'!O339=0,"",'H.W&amp;S.W&amp;Services'!O339)</f>
        <v/>
      </c>
      <c r="H325" s="2" t="str">
        <f>IF('H.W&amp;S.W&amp;Services'!B339=0,"",'H.W&amp;S.W&amp;Services'!B339) &amp; IF('H.W&amp;S.W&amp;Services'!F339=0,""," / "&amp;'H.W&amp;S.W&amp;Services'!F339) &amp; IF('H.W&amp;S.W&amp;Services'!G339=0,""," / "&amp;'H.W&amp;S.W&amp;Services'!G339)</f>
        <v/>
      </c>
      <c r="I325" t="str">
        <f>IF('H.W&amp;S.W&amp;Services'!D339=0,"",'H.W&amp;S.W&amp;Services'!D339)</f>
        <v/>
      </c>
      <c r="J325" s="2" t="str">
        <f>IF('H.W&amp;S.W&amp;Services'!E339=0,"",'H.W&amp;S.W&amp;Services'!E339)</f>
        <v/>
      </c>
    </row>
    <row r="326" spans="1:10" x14ac:dyDescent="0.2">
      <c r="A326" s="2" t="str">
        <f t="shared" ca="1" si="5"/>
        <v/>
      </c>
      <c r="B326" s="2" t="str">
        <f>IF('H.W&amp;S.W&amp;Services'!C340=0,"",'H.W&amp;S.W&amp;Services'!C340)</f>
        <v/>
      </c>
      <c r="C326" s="2" t="str">
        <f>IF('H.W&amp;S.W&amp;Services'!C340=0,"",'H.W&amp;S.W&amp;Services'!C340)</f>
        <v/>
      </c>
      <c r="D326" s="2" t="str">
        <f>IF('H.W&amp;S.W&amp;Services'!H340=0,"",'H.W&amp;S.W&amp;Services'!H340)</f>
        <v/>
      </c>
      <c r="E326" s="2" t="str">
        <f>IF('H.W&amp;S.W&amp;Services'!I340=0,"",'H.W&amp;S.W&amp;Services'!I340)</f>
        <v/>
      </c>
      <c r="F326" s="3" t="str">
        <f>IF('H.W&amp;S.W&amp;Services'!J340=0,"",'H.W&amp;S.W&amp;Services'!J340)</f>
        <v/>
      </c>
      <c r="G326" s="4" t="str">
        <f>IF('H.W&amp;S.W&amp;Services'!O340=0,"",'H.W&amp;S.W&amp;Services'!O340)</f>
        <v/>
      </c>
      <c r="H326" s="2" t="str">
        <f>IF('H.W&amp;S.W&amp;Services'!B340=0,"",'H.W&amp;S.W&amp;Services'!B340) &amp; IF('H.W&amp;S.W&amp;Services'!F340=0,""," / "&amp;'H.W&amp;S.W&amp;Services'!F340) &amp; IF('H.W&amp;S.W&amp;Services'!G340=0,""," / "&amp;'H.W&amp;S.W&amp;Services'!G340)</f>
        <v/>
      </c>
      <c r="I326" t="str">
        <f>IF('H.W&amp;S.W&amp;Services'!D340=0,"",'H.W&amp;S.W&amp;Services'!D340)</f>
        <v/>
      </c>
      <c r="J326" s="2" t="str">
        <f>IF('H.W&amp;S.W&amp;Services'!E340=0,"",'H.W&amp;S.W&amp;Services'!E340)</f>
        <v/>
      </c>
    </row>
    <row r="327" spans="1:10" x14ac:dyDescent="0.2">
      <c r="A327" s="2" t="str">
        <f t="shared" ca="1" si="5"/>
        <v/>
      </c>
      <c r="B327" s="2" t="str">
        <f>IF('H.W&amp;S.W&amp;Services'!C341=0,"",'H.W&amp;S.W&amp;Services'!C341)</f>
        <v/>
      </c>
      <c r="C327" s="2" t="str">
        <f>IF('H.W&amp;S.W&amp;Services'!C341=0,"",'H.W&amp;S.W&amp;Services'!C341)</f>
        <v/>
      </c>
      <c r="D327" s="2" t="str">
        <f>IF('H.W&amp;S.W&amp;Services'!H341=0,"",'H.W&amp;S.W&amp;Services'!H341)</f>
        <v/>
      </c>
      <c r="E327" s="2" t="str">
        <f>IF('H.W&amp;S.W&amp;Services'!I341=0,"",'H.W&amp;S.W&amp;Services'!I341)</f>
        <v/>
      </c>
      <c r="F327" s="3" t="str">
        <f>IF('H.W&amp;S.W&amp;Services'!J341=0,"",'H.W&amp;S.W&amp;Services'!J341)</f>
        <v/>
      </c>
      <c r="G327" s="4" t="str">
        <f>IF('H.W&amp;S.W&amp;Services'!O341=0,"",'H.W&amp;S.W&amp;Services'!O341)</f>
        <v/>
      </c>
      <c r="H327" s="2" t="str">
        <f>IF('H.W&amp;S.W&amp;Services'!B341=0,"",'H.W&amp;S.W&amp;Services'!B341) &amp; IF('H.W&amp;S.W&amp;Services'!F341=0,""," / "&amp;'H.W&amp;S.W&amp;Services'!F341) &amp; IF('H.W&amp;S.W&amp;Services'!G341=0,""," / "&amp;'H.W&amp;S.W&amp;Services'!G341)</f>
        <v/>
      </c>
      <c r="I327" t="str">
        <f>IF('H.W&amp;S.W&amp;Services'!D341=0,"",'H.W&amp;S.W&amp;Services'!D341)</f>
        <v/>
      </c>
      <c r="J327" s="2" t="str">
        <f>IF('H.W&amp;S.W&amp;Services'!E341=0,"",'H.W&amp;S.W&amp;Services'!E341)</f>
        <v/>
      </c>
    </row>
    <row r="328" spans="1:10" x14ac:dyDescent="0.2">
      <c r="A328" s="2" t="str">
        <f t="shared" ca="1" si="5"/>
        <v/>
      </c>
      <c r="B328" s="2" t="str">
        <f>IF('H.W&amp;S.W&amp;Services'!C342=0,"",'H.W&amp;S.W&amp;Services'!C342)</f>
        <v/>
      </c>
      <c r="C328" s="2" t="str">
        <f>IF('H.W&amp;S.W&amp;Services'!C342=0,"",'H.W&amp;S.W&amp;Services'!C342)</f>
        <v/>
      </c>
      <c r="D328" s="2" t="str">
        <f>IF('H.W&amp;S.W&amp;Services'!H342=0,"",'H.W&amp;S.W&amp;Services'!H342)</f>
        <v/>
      </c>
      <c r="E328" s="2" t="str">
        <f>IF('H.W&amp;S.W&amp;Services'!I342=0,"",'H.W&amp;S.W&amp;Services'!I342)</f>
        <v/>
      </c>
      <c r="F328" s="3" t="str">
        <f>IF('H.W&amp;S.W&amp;Services'!J342=0,"",'H.W&amp;S.W&amp;Services'!J342)</f>
        <v/>
      </c>
      <c r="G328" s="4" t="str">
        <f>IF('H.W&amp;S.W&amp;Services'!O342=0,"",'H.W&amp;S.W&amp;Services'!O342)</f>
        <v/>
      </c>
      <c r="H328" s="2" t="str">
        <f>IF('H.W&amp;S.W&amp;Services'!B342=0,"",'H.W&amp;S.W&amp;Services'!B342) &amp; IF('H.W&amp;S.W&amp;Services'!F342=0,""," / "&amp;'H.W&amp;S.W&amp;Services'!F342) &amp; IF('H.W&amp;S.W&amp;Services'!G342=0,""," / "&amp;'H.W&amp;S.W&amp;Services'!G342)</f>
        <v/>
      </c>
      <c r="I328" t="str">
        <f>IF('H.W&amp;S.W&amp;Services'!D342=0,"",'H.W&amp;S.W&amp;Services'!D342)</f>
        <v/>
      </c>
      <c r="J328" s="2" t="str">
        <f>IF('H.W&amp;S.W&amp;Services'!E342=0,"",'H.W&amp;S.W&amp;Services'!E342)</f>
        <v/>
      </c>
    </row>
    <row r="329" spans="1:10" x14ac:dyDescent="0.2">
      <c r="A329" s="2" t="str">
        <f t="shared" ref="A329:A392" ca="1" si="6">IF(C329="","",RANDBETWEEN(1,10000000000)&amp;B329&amp;LEFT(D329,10))</f>
        <v/>
      </c>
      <c r="B329" s="2" t="str">
        <f>IF('H.W&amp;S.W&amp;Services'!C343=0,"",'H.W&amp;S.W&amp;Services'!C343)</f>
        <v/>
      </c>
      <c r="C329" s="2" t="str">
        <f>IF('H.W&amp;S.W&amp;Services'!C343=0,"",'H.W&amp;S.W&amp;Services'!C343)</f>
        <v/>
      </c>
      <c r="D329" s="2" t="str">
        <f>IF('H.W&amp;S.W&amp;Services'!H343=0,"",'H.W&amp;S.W&amp;Services'!H343)</f>
        <v/>
      </c>
      <c r="E329" s="2" t="str">
        <f>IF('H.W&amp;S.W&amp;Services'!I343=0,"",'H.W&amp;S.W&amp;Services'!I343)</f>
        <v/>
      </c>
      <c r="F329" s="3" t="str">
        <f>IF('H.W&amp;S.W&amp;Services'!J343=0,"",'H.W&amp;S.W&amp;Services'!J343)</f>
        <v/>
      </c>
      <c r="G329" s="4" t="str">
        <f>IF('H.W&amp;S.W&amp;Services'!O343=0,"",'H.W&amp;S.W&amp;Services'!O343)</f>
        <v/>
      </c>
      <c r="H329" s="2" t="str">
        <f>IF('H.W&amp;S.W&amp;Services'!B343=0,"",'H.W&amp;S.W&amp;Services'!B343) &amp; IF('H.W&amp;S.W&amp;Services'!F343=0,""," / "&amp;'H.W&amp;S.W&amp;Services'!F343) &amp; IF('H.W&amp;S.W&amp;Services'!G343=0,""," / "&amp;'H.W&amp;S.W&amp;Services'!G343)</f>
        <v/>
      </c>
      <c r="I329" t="str">
        <f>IF('H.W&amp;S.W&amp;Services'!D343=0,"",'H.W&amp;S.W&amp;Services'!D343)</f>
        <v/>
      </c>
      <c r="J329" s="2" t="str">
        <f>IF('H.W&amp;S.W&amp;Services'!E343=0,"",'H.W&amp;S.W&amp;Services'!E343)</f>
        <v/>
      </c>
    </row>
    <row r="330" spans="1:10" x14ac:dyDescent="0.2">
      <c r="A330" s="2" t="str">
        <f t="shared" ca="1" si="6"/>
        <v/>
      </c>
      <c r="B330" s="2" t="str">
        <f>IF('H.W&amp;S.W&amp;Services'!C344=0,"",'H.W&amp;S.W&amp;Services'!C344)</f>
        <v/>
      </c>
      <c r="C330" s="2" t="str">
        <f>IF('H.W&amp;S.W&amp;Services'!C344=0,"",'H.W&amp;S.W&amp;Services'!C344)</f>
        <v/>
      </c>
      <c r="D330" s="2" t="str">
        <f>IF('H.W&amp;S.W&amp;Services'!H344=0,"",'H.W&amp;S.W&amp;Services'!H344)</f>
        <v/>
      </c>
      <c r="E330" s="2" t="str">
        <f>IF('H.W&amp;S.W&amp;Services'!I344=0,"",'H.W&amp;S.W&amp;Services'!I344)</f>
        <v/>
      </c>
      <c r="F330" s="3" t="str">
        <f>IF('H.W&amp;S.W&amp;Services'!J344=0,"",'H.W&amp;S.W&amp;Services'!J344)</f>
        <v/>
      </c>
      <c r="G330" s="4" t="str">
        <f>IF('H.W&amp;S.W&amp;Services'!O344=0,"",'H.W&amp;S.W&amp;Services'!O344)</f>
        <v/>
      </c>
      <c r="H330" s="2" t="str">
        <f>IF('H.W&amp;S.W&amp;Services'!B344=0,"",'H.W&amp;S.W&amp;Services'!B344) &amp; IF('H.W&amp;S.W&amp;Services'!F344=0,""," / "&amp;'H.W&amp;S.W&amp;Services'!F344) &amp; IF('H.W&amp;S.W&amp;Services'!G344=0,""," / "&amp;'H.W&amp;S.W&amp;Services'!G344)</f>
        <v/>
      </c>
      <c r="I330" t="str">
        <f>IF('H.W&amp;S.W&amp;Services'!D344=0,"",'H.W&amp;S.W&amp;Services'!D344)</f>
        <v/>
      </c>
      <c r="J330" s="2" t="str">
        <f>IF('H.W&amp;S.W&amp;Services'!E344=0,"",'H.W&amp;S.W&amp;Services'!E344)</f>
        <v/>
      </c>
    </row>
    <row r="331" spans="1:10" x14ac:dyDescent="0.2">
      <c r="A331" s="2" t="str">
        <f t="shared" ca="1" si="6"/>
        <v/>
      </c>
      <c r="B331" s="2" t="str">
        <f>IF('H.W&amp;S.W&amp;Services'!C345=0,"",'H.W&amp;S.W&amp;Services'!C345)</f>
        <v/>
      </c>
      <c r="C331" s="2" t="str">
        <f>IF('H.W&amp;S.W&amp;Services'!C345=0,"",'H.W&amp;S.W&amp;Services'!C345)</f>
        <v/>
      </c>
      <c r="D331" s="2" t="str">
        <f>IF('H.W&amp;S.W&amp;Services'!H345=0,"",'H.W&amp;S.W&amp;Services'!H345)</f>
        <v/>
      </c>
      <c r="E331" s="2" t="str">
        <f>IF('H.W&amp;S.W&amp;Services'!I345=0,"",'H.W&amp;S.W&amp;Services'!I345)</f>
        <v/>
      </c>
      <c r="F331" s="3" t="str">
        <f>IF('H.W&amp;S.W&amp;Services'!J345=0,"",'H.W&amp;S.W&amp;Services'!J345)</f>
        <v/>
      </c>
      <c r="G331" s="4" t="str">
        <f>IF('H.W&amp;S.W&amp;Services'!O345=0,"",'H.W&amp;S.W&amp;Services'!O345)</f>
        <v/>
      </c>
      <c r="H331" s="2" t="str">
        <f>IF('H.W&amp;S.W&amp;Services'!B345=0,"",'H.W&amp;S.W&amp;Services'!B345) &amp; IF('H.W&amp;S.W&amp;Services'!F345=0,""," / "&amp;'H.W&amp;S.W&amp;Services'!F345) &amp; IF('H.W&amp;S.W&amp;Services'!G345=0,""," / "&amp;'H.W&amp;S.W&amp;Services'!G345)</f>
        <v/>
      </c>
      <c r="I331" t="str">
        <f>IF('H.W&amp;S.W&amp;Services'!D345=0,"",'H.W&amp;S.W&amp;Services'!D345)</f>
        <v/>
      </c>
      <c r="J331" s="2" t="str">
        <f>IF('H.W&amp;S.W&amp;Services'!E345=0,"",'H.W&amp;S.W&amp;Services'!E345)</f>
        <v/>
      </c>
    </row>
    <row r="332" spans="1:10" x14ac:dyDescent="0.2">
      <c r="A332" s="2" t="str">
        <f t="shared" ca="1" si="6"/>
        <v/>
      </c>
      <c r="B332" s="2" t="str">
        <f>IF('H.W&amp;S.W&amp;Services'!C346=0,"",'H.W&amp;S.W&amp;Services'!C346)</f>
        <v/>
      </c>
      <c r="C332" s="2" t="str">
        <f>IF('H.W&amp;S.W&amp;Services'!C346=0,"",'H.W&amp;S.W&amp;Services'!C346)</f>
        <v/>
      </c>
      <c r="D332" s="2" t="str">
        <f>IF('H.W&amp;S.W&amp;Services'!H346=0,"",'H.W&amp;S.W&amp;Services'!H346)</f>
        <v/>
      </c>
      <c r="E332" s="2" t="str">
        <f>IF('H.W&amp;S.W&amp;Services'!I346=0,"",'H.W&amp;S.W&amp;Services'!I346)</f>
        <v/>
      </c>
      <c r="F332" s="3" t="str">
        <f>IF('H.W&amp;S.W&amp;Services'!J346=0,"",'H.W&amp;S.W&amp;Services'!J346)</f>
        <v/>
      </c>
      <c r="G332" s="4" t="str">
        <f>IF('H.W&amp;S.W&amp;Services'!O346=0,"",'H.W&amp;S.W&amp;Services'!O346)</f>
        <v/>
      </c>
      <c r="H332" s="2" t="str">
        <f>IF('H.W&amp;S.W&amp;Services'!B346=0,"",'H.W&amp;S.W&amp;Services'!B346) &amp; IF('H.W&amp;S.W&amp;Services'!F346=0,""," / "&amp;'H.W&amp;S.W&amp;Services'!F346) &amp; IF('H.W&amp;S.W&amp;Services'!G346=0,""," / "&amp;'H.W&amp;S.W&amp;Services'!G346)</f>
        <v/>
      </c>
      <c r="I332" t="str">
        <f>IF('H.W&amp;S.W&amp;Services'!D346=0,"",'H.W&amp;S.W&amp;Services'!D346)</f>
        <v/>
      </c>
      <c r="J332" s="2" t="str">
        <f>IF('H.W&amp;S.W&amp;Services'!E346=0,"",'H.W&amp;S.W&amp;Services'!E346)</f>
        <v/>
      </c>
    </row>
    <row r="333" spans="1:10" x14ac:dyDescent="0.2">
      <c r="A333" s="2" t="str">
        <f t="shared" ca="1" si="6"/>
        <v/>
      </c>
      <c r="B333" s="2" t="str">
        <f>IF('H.W&amp;S.W&amp;Services'!C347=0,"",'H.W&amp;S.W&amp;Services'!C347)</f>
        <v/>
      </c>
      <c r="C333" s="2" t="str">
        <f>IF('H.W&amp;S.W&amp;Services'!C347=0,"",'H.W&amp;S.W&amp;Services'!C347)</f>
        <v/>
      </c>
      <c r="D333" s="2" t="str">
        <f>IF('H.W&amp;S.W&amp;Services'!H347=0,"",'H.W&amp;S.W&amp;Services'!H347)</f>
        <v/>
      </c>
      <c r="E333" s="2" t="str">
        <f>IF('H.W&amp;S.W&amp;Services'!I347=0,"",'H.W&amp;S.W&amp;Services'!I347)</f>
        <v/>
      </c>
      <c r="F333" s="3" t="str">
        <f>IF('H.W&amp;S.W&amp;Services'!J347=0,"",'H.W&amp;S.W&amp;Services'!J347)</f>
        <v/>
      </c>
      <c r="G333" s="4" t="str">
        <f>IF('H.W&amp;S.W&amp;Services'!O347=0,"",'H.W&amp;S.W&amp;Services'!O347)</f>
        <v/>
      </c>
      <c r="H333" s="2" t="str">
        <f>IF('H.W&amp;S.W&amp;Services'!B347=0,"",'H.W&amp;S.W&amp;Services'!B347) &amp; IF('H.W&amp;S.W&amp;Services'!F347=0,""," / "&amp;'H.W&amp;S.W&amp;Services'!F347) &amp; IF('H.W&amp;S.W&amp;Services'!G347=0,""," / "&amp;'H.W&amp;S.W&amp;Services'!G347)</f>
        <v/>
      </c>
      <c r="I333" t="str">
        <f>IF('H.W&amp;S.W&amp;Services'!D347=0,"",'H.W&amp;S.W&amp;Services'!D347)</f>
        <v/>
      </c>
      <c r="J333" s="2" t="str">
        <f>IF('H.W&amp;S.W&amp;Services'!E347=0,"",'H.W&amp;S.W&amp;Services'!E347)</f>
        <v/>
      </c>
    </row>
    <row r="334" spans="1:10" x14ac:dyDescent="0.2">
      <c r="A334" s="2" t="str">
        <f t="shared" ca="1" si="6"/>
        <v/>
      </c>
      <c r="B334" s="2" t="str">
        <f>IF('H.W&amp;S.W&amp;Services'!C348=0,"",'H.W&amp;S.W&amp;Services'!C348)</f>
        <v/>
      </c>
      <c r="C334" s="2" t="str">
        <f>IF('H.W&amp;S.W&amp;Services'!C348=0,"",'H.W&amp;S.W&amp;Services'!C348)</f>
        <v/>
      </c>
      <c r="D334" s="2" t="str">
        <f>IF('H.W&amp;S.W&amp;Services'!H348=0,"",'H.W&amp;S.W&amp;Services'!H348)</f>
        <v/>
      </c>
      <c r="E334" s="2" t="str">
        <f>IF('H.W&amp;S.W&amp;Services'!I348=0,"",'H.W&amp;S.W&amp;Services'!I348)</f>
        <v/>
      </c>
      <c r="F334" s="3" t="str">
        <f>IF('H.W&amp;S.W&amp;Services'!J348=0,"",'H.W&amp;S.W&amp;Services'!J348)</f>
        <v/>
      </c>
      <c r="G334" s="4" t="str">
        <f>IF('H.W&amp;S.W&amp;Services'!O348=0,"",'H.W&amp;S.W&amp;Services'!O348)</f>
        <v/>
      </c>
      <c r="H334" s="2" t="str">
        <f>IF('H.W&amp;S.W&amp;Services'!B348=0,"",'H.W&amp;S.W&amp;Services'!B348) &amp; IF('H.W&amp;S.W&amp;Services'!F348=0,""," / "&amp;'H.W&amp;S.W&amp;Services'!F348) &amp; IF('H.W&amp;S.W&amp;Services'!G348=0,""," / "&amp;'H.W&amp;S.W&amp;Services'!G348)</f>
        <v/>
      </c>
      <c r="I334" t="str">
        <f>IF('H.W&amp;S.W&amp;Services'!D348=0,"",'H.W&amp;S.W&amp;Services'!D348)</f>
        <v/>
      </c>
      <c r="J334" s="2" t="str">
        <f>IF('H.W&amp;S.W&amp;Services'!E348=0,"",'H.W&amp;S.W&amp;Services'!E348)</f>
        <v/>
      </c>
    </row>
    <row r="335" spans="1:10" x14ac:dyDescent="0.2">
      <c r="A335" s="2" t="str">
        <f t="shared" ca="1" si="6"/>
        <v/>
      </c>
      <c r="B335" s="2" t="str">
        <f>IF('H.W&amp;S.W&amp;Services'!C349=0,"",'H.W&amp;S.W&amp;Services'!C349)</f>
        <v/>
      </c>
      <c r="C335" s="2" t="str">
        <f>IF('H.W&amp;S.W&amp;Services'!C349=0,"",'H.W&amp;S.W&amp;Services'!C349)</f>
        <v/>
      </c>
      <c r="D335" s="2" t="str">
        <f>IF('H.W&amp;S.W&amp;Services'!H349=0,"",'H.W&amp;S.W&amp;Services'!H349)</f>
        <v/>
      </c>
      <c r="E335" s="2" t="str">
        <f>IF('H.W&amp;S.W&amp;Services'!I349=0,"",'H.W&amp;S.W&amp;Services'!I349)</f>
        <v/>
      </c>
      <c r="F335" s="3" t="str">
        <f>IF('H.W&amp;S.W&amp;Services'!J349=0,"",'H.W&amp;S.W&amp;Services'!J349)</f>
        <v/>
      </c>
      <c r="G335" s="4" t="str">
        <f>IF('H.W&amp;S.W&amp;Services'!O349=0,"",'H.W&amp;S.W&amp;Services'!O349)</f>
        <v/>
      </c>
      <c r="H335" s="2" t="str">
        <f>IF('H.W&amp;S.W&amp;Services'!B349=0,"",'H.W&amp;S.W&amp;Services'!B349) &amp; IF('H.W&amp;S.W&amp;Services'!F349=0,""," / "&amp;'H.W&amp;S.W&amp;Services'!F349) &amp; IF('H.W&amp;S.W&amp;Services'!G349=0,""," / "&amp;'H.W&amp;S.W&amp;Services'!G349)</f>
        <v/>
      </c>
      <c r="I335" t="str">
        <f>IF('H.W&amp;S.W&amp;Services'!D349=0,"",'H.W&amp;S.W&amp;Services'!D349)</f>
        <v/>
      </c>
      <c r="J335" s="2" t="str">
        <f>IF('H.W&amp;S.W&amp;Services'!E349=0,"",'H.W&amp;S.W&amp;Services'!E349)</f>
        <v/>
      </c>
    </row>
    <row r="336" spans="1:10" x14ac:dyDescent="0.2">
      <c r="A336" s="2" t="str">
        <f t="shared" ca="1" si="6"/>
        <v/>
      </c>
      <c r="B336" s="2" t="str">
        <f>IF('H.W&amp;S.W&amp;Services'!C350=0,"",'H.W&amp;S.W&amp;Services'!C350)</f>
        <v/>
      </c>
      <c r="C336" s="2" t="str">
        <f>IF('H.W&amp;S.W&amp;Services'!C350=0,"",'H.W&amp;S.W&amp;Services'!C350)</f>
        <v/>
      </c>
      <c r="D336" s="2" t="str">
        <f>IF('H.W&amp;S.W&amp;Services'!H350=0,"",'H.W&amp;S.W&amp;Services'!H350)</f>
        <v/>
      </c>
      <c r="E336" s="2" t="str">
        <f>IF('H.W&amp;S.W&amp;Services'!I350=0,"",'H.W&amp;S.W&amp;Services'!I350)</f>
        <v/>
      </c>
      <c r="F336" s="3" t="str">
        <f>IF('H.W&amp;S.W&amp;Services'!J350=0,"",'H.W&amp;S.W&amp;Services'!J350)</f>
        <v/>
      </c>
      <c r="G336" s="4" t="str">
        <f>IF('H.W&amp;S.W&amp;Services'!O350=0,"",'H.W&amp;S.W&amp;Services'!O350)</f>
        <v/>
      </c>
      <c r="H336" s="2" t="str">
        <f>IF('H.W&amp;S.W&amp;Services'!B350=0,"",'H.W&amp;S.W&amp;Services'!B350) &amp; IF('H.W&amp;S.W&amp;Services'!F350=0,""," / "&amp;'H.W&amp;S.W&amp;Services'!F350) &amp; IF('H.W&amp;S.W&amp;Services'!G350=0,""," / "&amp;'H.W&amp;S.W&amp;Services'!G350)</f>
        <v/>
      </c>
      <c r="I336" t="str">
        <f>IF('H.W&amp;S.W&amp;Services'!D350=0,"",'H.W&amp;S.W&amp;Services'!D350)</f>
        <v/>
      </c>
      <c r="J336" s="2" t="str">
        <f>IF('H.W&amp;S.W&amp;Services'!E350=0,"",'H.W&amp;S.W&amp;Services'!E350)</f>
        <v/>
      </c>
    </row>
    <row r="337" spans="1:10" x14ac:dyDescent="0.2">
      <c r="A337" s="2" t="str">
        <f t="shared" ca="1" si="6"/>
        <v/>
      </c>
      <c r="B337" s="2" t="str">
        <f>IF('H.W&amp;S.W&amp;Services'!C351=0,"",'H.W&amp;S.W&amp;Services'!C351)</f>
        <v/>
      </c>
      <c r="C337" s="2" t="str">
        <f>IF('H.W&amp;S.W&amp;Services'!C351=0,"",'H.W&amp;S.W&amp;Services'!C351)</f>
        <v/>
      </c>
      <c r="D337" s="2" t="str">
        <f>IF('H.W&amp;S.W&amp;Services'!H351=0,"",'H.W&amp;S.W&amp;Services'!H351)</f>
        <v/>
      </c>
      <c r="E337" s="2" t="str">
        <f>IF('H.W&amp;S.W&amp;Services'!I351=0,"",'H.W&amp;S.W&amp;Services'!I351)</f>
        <v/>
      </c>
      <c r="F337" s="3" t="str">
        <f>IF('H.W&amp;S.W&amp;Services'!J351=0,"",'H.W&amp;S.W&amp;Services'!J351)</f>
        <v/>
      </c>
      <c r="G337" s="4" t="str">
        <f>IF('H.W&amp;S.W&amp;Services'!O351=0,"",'H.W&amp;S.W&amp;Services'!O351)</f>
        <v/>
      </c>
      <c r="H337" s="2" t="str">
        <f>IF('H.W&amp;S.W&amp;Services'!B351=0,"",'H.W&amp;S.W&amp;Services'!B351) &amp; IF('H.W&amp;S.W&amp;Services'!F351=0,""," / "&amp;'H.W&amp;S.W&amp;Services'!F351) &amp; IF('H.W&amp;S.W&amp;Services'!G351=0,""," / "&amp;'H.W&amp;S.W&amp;Services'!G351)</f>
        <v/>
      </c>
      <c r="I337" t="str">
        <f>IF('H.W&amp;S.W&amp;Services'!D351=0,"",'H.W&amp;S.W&amp;Services'!D351)</f>
        <v/>
      </c>
      <c r="J337" s="2" t="str">
        <f>IF('H.W&amp;S.W&amp;Services'!E351=0,"",'H.W&amp;S.W&amp;Services'!E351)</f>
        <v/>
      </c>
    </row>
    <row r="338" spans="1:10" x14ac:dyDescent="0.2">
      <c r="A338" s="2" t="str">
        <f t="shared" ca="1" si="6"/>
        <v/>
      </c>
      <c r="B338" s="2" t="str">
        <f>IF('H.W&amp;S.W&amp;Services'!C352=0,"",'H.W&amp;S.W&amp;Services'!C352)</f>
        <v/>
      </c>
      <c r="C338" s="2" t="str">
        <f>IF('H.W&amp;S.W&amp;Services'!C352=0,"",'H.W&amp;S.W&amp;Services'!C352)</f>
        <v/>
      </c>
      <c r="D338" s="2" t="str">
        <f>IF('H.W&amp;S.W&amp;Services'!H352=0,"",'H.W&amp;S.W&amp;Services'!H352)</f>
        <v/>
      </c>
      <c r="E338" s="2" t="str">
        <f>IF('H.W&amp;S.W&amp;Services'!I352=0,"",'H.W&amp;S.W&amp;Services'!I352)</f>
        <v/>
      </c>
      <c r="F338" s="3" t="str">
        <f>IF('H.W&amp;S.W&amp;Services'!J352=0,"",'H.W&amp;S.W&amp;Services'!J352)</f>
        <v/>
      </c>
      <c r="G338" s="4" t="str">
        <f>IF('H.W&amp;S.W&amp;Services'!O352=0,"",'H.W&amp;S.W&amp;Services'!O352)</f>
        <v/>
      </c>
      <c r="H338" s="2" t="str">
        <f>IF('H.W&amp;S.W&amp;Services'!B352=0,"",'H.W&amp;S.W&amp;Services'!B352) &amp; IF('H.W&amp;S.W&amp;Services'!F352=0,""," / "&amp;'H.W&amp;S.W&amp;Services'!F352) &amp; IF('H.W&amp;S.W&amp;Services'!G352=0,""," / "&amp;'H.W&amp;S.W&amp;Services'!G352)</f>
        <v/>
      </c>
      <c r="I338" t="str">
        <f>IF('H.W&amp;S.W&amp;Services'!D352=0,"",'H.W&amp;S.W&amp;Services'!D352)</f>
        <v/>
      </c>
      <c r="J338" s="2" t="str">
        <f>IF('H.W&amp;S.W&amp;Services'!E352=0,"",'H.W&amp;S.W&amp;Services'!E352)</f>
        <v/>
      </c>
    </row>
    <row r="339" spans="1:10" x14ac:dyDescent="0.2">
      <c r="A339" s="2" t="str">
        <f t="shared" ca="1" si="6"/>
        <v/>
      </c>
      <c r="B339" s="2" t="str">
        <f>IF('H.W&amp;S.W&amp;Services'!C353=0,"",'H.W&amp;S.W&amp;Services'!C353)</f>
        <v/>
      </c>
      <c r="C339" s="2" t="str">
        <f>IF('H.W&amp;S.W&amp;Services'!C353=0,"",'H.W&amp;S.W&amp;Services'!C353)</f>
        <v/>
      </c>
      <c r="D339" s="2" t="str">
        <f>IF('H.W&amp;S.W&amp;Services'!H353=0,"",'H.W&amp;S.W&amp;Services'!H353)</f>
        <v/>
      </c>
      <c r="E339" s="2" t="str">
        <f>IF('H.W&amp;S.W&amp;Services'!I353=0,"",'H.W&amp;S.W&amp;Services'!I353)</f>
        <v/>
      </c>
      <c r="F339" s="3" t="str">
        <f>IF('H.W&amp;S.W&amp;Services'!J353=0,"",'H.W&amp;S.W&amp;Services'!J353)</f>
        <v/>
      </c>
      <c r="G339" s="4" t="str">
        <f>IF('H.W&amp;S.W&amp;Services'!O353=0,"",'H.W&amp;S.W&amp;Services'!O353)</f>
        <v/>
      </c>
      <c r="H339" s="2" t="str">
        <f>IF('H.W&amp;S.W&amp;Services'!B353=0,"",'H.W&amp;S.W&amp;Services'!B353) &amp; IF('H.W&amp;S.W&amp;Services'!F353=0,""," / "&amp;'H.W&amp;S.W&amp;Services'!F353) &amp; IF('H.W&amp;S.W&amp;Services'!G353=0,""," / "&amp;'H.W&amp;S.W&amp;Services'!G353)</f>
        <v/>
      </c>
      <c r="I339" t="str">
        <f>IF('H.W&amp;S.W&amp;Services'!D353=0,"",'H.W&amp;S.W&amp;Services'!D353)</f>
        <v/>
      </c>
      <c r="J339" s="2" t="str">
        <f>IF('H.W&amp;S.W&amp;Services'!E353=0,"",'H.W&amp;S.W&amp;Services'!E353)</f>
        <v/>
      </c>
    </row>
    <row r="340" spans="1:10" x14ac:dyDescent="0.2">
      <c r="A340" s="2" t="str">
        <f t="shared" ca="1" si="6"/>
        <v/>
      </c>
      <c r="B340" s="2" t="str">
        <f>IF('H.W&amp;S.W&amp;Services'!C354=0,"",'H.W&amp;S.W&amp;Services'!C354)</f>
        <v/>
      </c>
      <c r="C340" s="2" t="str">
        <f>IF('H.W&amp;S.W&amp;Services'!C354=0,"",'H.W&amp;S.W&amp;Services'!C354)</f>
        <v/>
      </c>
      <c r="D340" s="2" t="str">
        <f>IF('H.W&amp;S.W&amp;Services'!H354=0,"",'H.W&amp;S.W&amp;Services'!H354)</f>
        <v/>
      </c>
      <c r="E340" s="2" t="str">
        <f>IF('H.W&amp;S.W&amp;Services'!I354=0,"",'H.W&amp;S.W&amp;Services'!I354)</f>
        <v/>
      </c>
      <c r="F340" s="3" t="str">
        <f>IF('H.W&amp;S.W&amp;Services'!J354=0,"",'H.W&amp;S.W&amp;Services'!J354)</f>
        <v/>
      </c>
      <c r="G340" s="4" t="str">
        <f>IF('H.W&amp;S.W&amp;Services'!O354=0,"",'H.W&amp;S.W&amp;Services'!O354)</f>
        <v/>
      </c>
      <c r="H340" s="2" t="str">
        <f>IF('H.W&amp;S.W&amp;Services'!B354=0,"",'H.W&amp;S.W&amp;Services'!B354) &amp; IF('H.W&amp;S.W&amp;Services'!F354=0,""," / "&amp;'H.W&amp;S.W&amp;Services'!F354) &amp; IF('H.W&amp;S.W&amp;Services'!G354=0,""," / "&amp;'H.W&amp;S.W&amp;Services'!G354)</f>
        <v/>
      </c>
      <c r="I340" t="str">
        <f>IF('H.W&amp;S.W&amp;Services'!D354=0,"",'H.W&amp;S.W&amp;Services'!D354)</f>
        <v/>
      </c>
      <c r="J340" s="2" t="str">
        <f>IF('H.W&amp;S.W&amp;Services'!E354=0,"",'H.W&amp;S.W&amp;Services'!E354)</f>
        <v/>
      </c>
    </row>
    <row r="341" spans="1:10" x14ac:dyDescent="0.2">
      <c r="A341" s="2" t="str">
        <f t="shared" ca="1" si="6"/>
        <v/>
      </c>
      <c r="B341" s="2" t="str">
        <f>IF('H.W&amp;S.W&amp;Services'!C355=0,"",'H.W&amp;S.W&amp;Services'!C355)</f>
        <v/>
      </c>
      <c r="C341" s="2" t="str">
        <f>IF('H.W&amp;S.W&amp;Services'!C355=0,"",'H.W&amp;S.W&amp;Services'!C355)</f>
        <v/>
      </c>
      <c r="D341" s="2" t="str">
        <f>IF('H.W&amp;S.W&amp;Services'!H355=0,"",'H.W&amp;S.W&amp;Services'!H355)</f>
        <v/>
      </c>
      <c r="E341" s="2" t="str">
        <f>IF('H.W&amp;S.W&amp;Services'!I355=0,"",'H.W&amp;S.W&amp;Services'!I355)</f>
        <v/>
      </c>
      <c r="F341" s="3" t="str">
        <f>IF('H.W&amp;S.W&amp;Services'!J355=0,"",'H.W&amp;S.W&amp;Services'!J355)</f>
        <v/>
      </c>
      <c r="G341" s="4" t="str">
        <f>IF('H.W&amp;S.W&amp;Services'!O355=0,"",'H.W&amp;S.W&amp;Services'!O355)</f>
        <v/>
      </c>
      <c r="H341" s="2" t="str">
        <f>IF('H.W&amp;S.W&amp;Services'!B355=0,"",'H.W&amp;S.W&amp;Services'!B355) &amp; IF('H.W&amp;S.W&amp;Services'!F355=0,""," / "&amp;'H.W&amp;S.W&amp;Services'!F355) &amp; IF('H.W&amp;S.W&amp;Services'!G355=0,""," / "&amp;'H.W&amp;S.W&amp;Services'!G355)</f>
        <v/>
      </c>
      <c r="I341" t="str">
        <f>IF('H.W&amp;S.W&amp;Services'!D355=0,"",'H.W&amp;S.W&amp;Services'!D355)</f>
        <v/>
      </c>
      <c r="J341" s="2" t="str">
        <f>IF('H.W&amp;S.W&amp;Services'!E355=0,"",'H.W&amp;S.W&amp;Services'!E355)</f>
        <v/>
      </c>
    </row>
    <row r="342" spans="1:10" x14ac:dyDescent="0.2">
      <c r="A342" s="2" t="str">
        <f t="shared" ca="1" si="6"/>
        <v/>
      </c>
      <c r="B342" s="2" t="str">
        <f>IF('H.W&amp;S.W&amp;Services'!C356=0,"",'H.W&amp;S.W&amp;Services'!C356)</f>
        <v/>
      </c>
      <c r="C342" s="2" t="str">
        <f>IF('H.W&amp;S.W&amp;Services'!C356=0,"",'H.W&amp;S.W&amp;Services'!C356)</f>
        <v/>
      </c>
      <c r="D342" s="2" t="str">
        <f>IF('H.W&amp;S.W&amp;Services'!H356=0,"",'H.W&amp;S.W&amp;Services'!H356)</f>
        <v/>
      </c>
      <c r="E342" s="2" t="str">
        <f>IF('H.W&amp;S.W&amp;Services'!I356=0,"",'H.W&amp;S.W&amp;Services'!I356)</f>
        <v/>
      </c>
      <c r="F342" s="3" t="str">
        <f>IF('H.W&amp;S.W&amp;Services'!J356=0,"",'H.W&amp;S.W&amp;Services'!J356)</f>
        <v/>
      </c>
      <c r="G342" s="4" t="str">
        <f>IF('H.W&amp;S.W&amp;Services'!O356=0,"",'H.W&amp;S.W&amp;Services'!O356)</f>
        <v/>
      </c>
      <c r="H342" s="2" t="str">
        <f>IF('H.W&amp;S.W&amp;Services'!B356=0,"",'H.W&amp;S.W&amp;Services'!B356) &amp; IF('H.W&amp;S.W&amp;Services'!F356=0,""," / "&amp;'H.W&amp;S.W&amp;Services'!F356) &amp; IF('H.W&amp;S.W&amp;Services'!G356=0,""," / "&amp;'H.W&amp;S.W&amp;Services'!G356)</f>
        <v/>
      </c>
      <c r="I342" t="str">
        <f>IF('H.W&amp;S.W&amp;Services'!D356=0,"",'H.W&amp;S.W&amp;Services'!D356)</f>
        <v/>
      </c>
      <c r="J342" s="2" t="str">
        <f>IF('H.W&amp;S.W&amp;Services'!E356=0,"",'H.W&amp;S.W&amp;Services'!E356)</f>
        <v/>
      </c>
    </row>
    <row r="343" spans="1:10" x14ac:dyDescent="0.2">
      <c r="A343" s="2" t="str">
        <f t="shared" ca="1" si="6"/>
        <v/>
      </c>
      <c r="B343" s="2" t="str">
        <f>IF('H.W&amp;S.W&amp;Services'!C357=0,"",'H.W&amp;S.W&amp;Services'!C357)</f>
        <v/>
      </c>
      <c r="C343" s="2" t="str">
        <f>IF('H.W&amp;S.W&amp;Services'!C357=0,"",'H.W&amp;S.W&amp;Services'!C357)</f>
        <v/>
      </c>
      <c r="D343" s="2" t="str">
        <f>IF('H.W&amp;S.W&amp;Services'!H357=0,"",'H.W&amp;S.W&amp;Services'!H357)</f>
        <v/>
      </c>
      <c r="E343" s="2" t="str">
        <f>IF('H.W&amp;S.W&amp;Services'!I357=0,"",'H.W&amp;S.W&amp;Services'!I357)</f>
        <v/>
      </c>
      <c r="F343" s="3" t="str">
        <f>IF('H.W&amp;S.W&amp;Services'!J357=0,"",'H.W&amp;S.W&amp;Services'!J357)</f>
        <v/>
      </c>
      <c r="G343" s="4" t="str">
        <f>IF('H.W&amp;S.W&amp;Services'!O357=0,"",'H.W&amp;S.W&amp;Services'!O357)</f>
        <v/>
      </c>
      <c r="H343" s="2" t="str">
        <f>IF('H.W&amp;S.W&amp;Services'!B357=0,"",'H.W&amp;S.W&amp;Services'!B357) &amp; IF('H.W&amp;S.W&amp;Services'!F357=0,""," / "&amp;'H.W&amp;S.W&amp;Services'!F357) &amp; IF('H.W&amp;S.W&amp;Services'!G357=0,""," / "&amp;'H.W&amp;S.W&amp;Services'!G357)</f>
        <v/>
      </c>
      <c r="I343" t="str">
        <f>IF('H.W&amp;S.W&amp;Services'!D357=0,"",'H.W&amp;S.W&amp;Services'!D357)</f>
        <v/>
      </c>
      <c r="J343" s="2" t="str">
        <f>IF('H.W&amp;S.W&amp;Services'!E357=0,"",'H.W&amp;S.W&amp;Services'!E357)</f>
        <v/>
      </c>
    </row>
    <row r="344" spans="1:10" x14ac:dyDescent="0.2">
      <c r="A344" s="2" t="str">
        <f t="shared" ca="1" si="6"/>
        <v/>
      </c>
      <c r="B344" s="2" t="str">
        <f>IF('H.W&amp;S.W&amp;Services'!C358=0,"",'H.W&amp;S.W&amp;Services'!C358)</f>
        <v/>
      </c>
      <c r="C344" s="2" t="str">
        <f>IF('H.W&amp;S.W&amp;Services'!C358=0,"",'H.W&amp;S.W&amp;Services'!C358)</f>
        <v/>
      </c>
      <c r="D344" s="2" t="str">
        <f>IF('H.W&amp;S.W&amp;Services'!H358=0,"",'H.W&amp;S.W&amp;Services'!H358)</f>
        <v/>
      </c>
      <c r="E344" s="2" t="str">
        <f>IF('H.W&amp;S.W&amp;Services'!I358=0,"",'H.W&amp;S.W&amp;Services'!I358)</f>
        <v/>
      </c>
      <c r="F344" s="3" t="str">
        <f>IF('H.W&amp;S.W&amp;Services'!J358=0,"",'H.W&amp;S.W&amp;Services'!J358)</f>
        <v/>
      </c>
      <c r="G344" s="4" t="str">
        <f>IF('H.W&amp;S.W&amp;Services'!O358=0,"",'H.W&amp;S.W&amp;Services'!O358)</f>
        <v/>
      </c>
      <c r="H344" s="2" t="str">
        <f>IF('H.W&amp;S.W&amp;Services'!B358=0,"",'H.W&amp;S.W&amp;Services'!B358) &amp; IF('H.W&amp;S.W&amp;Services'!F358=0,""," / "&amp;'H.W&amp;S.W&amp;Services'!F358) &amp; IF('H.W&amp;S.W&amp;Services'!G358=0,""," / "&amp;'H.W&amp;S.W&amp;Services'!G358)</f>
        <v/>
      </c>
      <c r="I344" t="str">
        <f>IF('H.W&amp;S.W&amp;Services'!D358=0,"",'H.W&amp;S.W&amp;Services'!D358)</f>
        <v/>
      </c>
      <c r="J344" s="2" t="str">
        <f>IF('H.W&amp;S.W&amp;Services'!E358=0,"",'H.W&amp;S.W&amp;Services'!E358)</f>
        <v/>
      </c>
    </row>
    <row r="345" spans="1:10" x14ac:dyDescent="0.2">
      <c r="A345" s="2" t="str">
        <f t="shared" ca="1" si="6"/>
        <v/>
      </c>
      <c r="B345" s="2" t="str">
        <f>IF('H.W&amp;S.W&amp;Services'!C359=0,"",'H.W&amp;S.W&amp;Services'!C359)</f>
        <v/>
      </c>
      <c r="C345" s="2" t="str">
        <f>IF('H.W&amp;S.W&amp;Services'!C359=0,"",'H.W&amp;S.W&amp;Services'!C359)</f>
        <v/>
      </c>
      <c r="D345" s="2" t="str">
        <f>IF('H.W&amp;S.W&amp;Services'!H359=0,"",'H.W&amp;S.W&amp;Services'!H359)</f>
        <v/>
      </c>
      <c r="E345" s="2" t="str">
        <f>IF('H.W&amp;S.W&amp;Services'!I359=0,"",'H.W&amp;S.W&amp;Services'!I359)</f>
        <v/>
      </c>
      <c r="F345" s="3" t="str">
        <f>IF('H.W&amp;S.W&amp;Services'!J359=0,"",'H.W&amp;S.W&amp;Services'!J359)</f>
        <v/>
      </c>
      <c r="G345" s="4" t="str">
        <f>IF('H.W&amp;S.W&amp;Services'!O359=0,"",'H.W&amp;S.W&amp;Services'!O359)</f>
        <v/>
      </c>
      <c r="H345" s="2" t="str">
        <f>IF('H.W&amp;S.W&amp;Services'!B359=0,"",'H.W&amp;S.W&amp;Services'!B359) &amp; IF('H.W&amp;S.W&amp;Services'!F359=0,""," / "&amp;'H.W&amp;S.W&amp;Services'!F359) &amp; IF('H.W&amp;S.W&amp;Services'!G359=0,""," / "&amp;'H.W&amp;S.W&amp;Services'!G359)</f>
        <v/>
      </c>
      <c r="I345" t="str">
        <f>IF('H.W&amp;S.W&amp;Services'!D359=0,"",'H.W&amp;S.W&amp;Services'!D359)</f>
        <v/>
      </c>
      <c r="J345" s="2" t="str">
        <f>IF('H.W&amp;S.W&amp;Services'!E359=0,"",'H.W&amp;S.W&amp;Services'!E359)</f>
        <v/>
      </c>
    </row>
    <row r="346" spans="1:10" x14ac:dyDescent="0.2">
      <c r="A346" s="2" t="str">
        <f t="shared" ca="1" si="6"/>
        <v/>
      </c>
      <c r="B346" s="2" t="str">
        <f>IF('H.W&amp;S.W&amp;Services'!C360=0,"",'H.W&amp;S.W&amp;Services'!C360)</f>
        <v/>
      </c>
      <c r="C346" s="2" t="str">
        <f>IF('H.W&amp;S.W&amp;Services'!C360=0,"",'H.W&amp;S.W&amp;Services'!C360)</f>
        <v/>
      </c>
      <c r="D346" s="2" t="str">
        <f>IF('H.W&amp;S.W&amp;Services'!H360=0,"",'H.W&amp;S.W&amp;Services'!H360)</f>
        <v/>
      </c>
      <c r="E346" s="2" t="str">
        <f>IF('H.W&amp;S.W&amp;Services'!I360=0,"",'H.W&amp;S.W&amp;Services'!I360)</f>
        <v/>
      </c>
      <c r="F346" s="3" t="str">
        <f>IF('H.W&amp;S.W&amp;Services'!J360=0,"",'H.W&amp;S.W&amp;Services'!J360)</f>
        <v/>
      </c>
      <c r="G346" s="4" t="str">
        <f>IF('H.W&amp;S.W&amp;Services'!O360=0,"",'H.W&amp;S.W&amp;Services'!O360)</f>
        <v/>
      </c>
      <c r="H346" s="2" t="str">
        <f>IF('H.W&amp;S.W&amp;Services'!B360=0,"",'H.W&amp;S.W&amp;Services'!B360) &amp; IF('H.W&amp;S.W&amp;Services'!F360=0,""," / "&amp;'H.W&amp;S.W&amp;Services'!F360) &amp; IF('H.W&amp;S.W&amp;Services'!G360=0,""," / "&amp;'H.W&amp;S.W&amp;Services'!G360)</f>
        <v/>
      </c>
      <c r="I346" t="str">
        <f>IF('H.W&amp;S.W&amp;Services'!D360=0,"",'H.W&amp;S.W&amp;Services'!D360)</f>
        <v/>
      </c>
      <c r="J346" s="2" t="str">
        <f>IF('H.W&amp;S.W&amp;Services'!E360=0,"",'H.W&amp;S.W&amp;Services'!E360)</f>
        <v/>
      </c>
    </row>
    <row r="347" spans="1:10" x14ac:dyDescent="0.2">
      <c r="A347" s="2" t="str">
        <f t="shared" ca="1" si="6"/>
        <v/>
      </c>
      <c r="B347" s="2" t="str">
        <f>IF('H.W&amp;S.W&amp;Services'!C361=0,"",'H.W&amp;S.W&amp;Services'!C361)</f>
        <v/>
      </c>
      <c r="C347" s="2" t="str">
        <f>IF('H.W&amp;S.W&amp;Services'!C361=0,"",'H.W&amp;S.W&amp;Services'!C361)</f>
        <v/>
      </c>
      <c r="D347" s="2" t="str">
        <f>IF('H.W&amp;S.W&amp;Services'!H361=0,"",'H.W&amp;S.W&amp;Services'!H361)</f>
        <v/>
      </c>
      <c r="E347" s="2" t="str">
        <f>IF('H.W&amp;S.W&amp;Services'!I361=0,"",'H.W&amp;S.W&amp;Services'!I361)</f>
        <v/>
      </c>
      <c r="F347" s="3" t="str">
        <f>IF('H.W&amp;S.W&amp;Services'!J361=0,"",'H.W&amp;S.W&amp;Services'!J361)</f>
        <v/>
      </c>
      <c r="G347" s="4" t="str">
        <f>IF('H.W&amp;S.W&amp;Services'!O361=0,"",'H.W&amp;S.W&amp;Services'!O361)</f>
        <v/>
      </c>
      <c r="H347" s="2" t="str">
        <f>IF('H.W&amp;S.W&amp;Services'!B361=0,"",'H.W&amp;S.W&amp;Services'!B361) &amp; IF('H.W&amp;S.W&amp;Services'!F361=0,""," / "&amp;'H.W&amp;S.W&amp;Services'!F361) &amp; IF('H.W&amp;S.W&amp;Services'!G361=0,""," / "&amp;'H.W&amp;S.W&amp;Services'!G361)</f>
        <v/>
      </c>
      <c r="I347" t="str">
        <f>IF('H.W&amp;S.W&amp;Services'!D361=0,"",'H.W&amp;S.W&amp;Services'!D361)</f>
        <v/>
      </c>
      <c r="J347" s="2" t="str">
        <f>IF('H.W&amp;S.W&amp;Services'!E361=0,"",'H.W&amp;S.W&amp;Services'!E361)</f>
        <v/>
      </c>
    </row>
    <row r="348" spans="1:10" x14ac:dyDescent="0.2">
      <c r="A348" s="2" t="str">
        <f t="shared" ca="1" si="6"/>
        <v/>
      </c>
      <c r="B348" s="2" t="str">
        <f>IF('H.W&amp;S.W&amp;Services'!C362=0,"",'H.W&amp;S.W&amp;Services'!C362)</f>
        <v/>
      </c>
      <c r="C348" s="2" t="str">
        <f>IF('H.W&amp;S.W&amp;Services'!C362=0,"",'H.W&amp;S.W&amp;Services'!C362)</f>
        <v/>
      </c>
      <c r="D348" s="2" t="str">
        <f>IF('H.W&amp;S.W&amp;Services'!H362=0,"",'H.W&amp;S.W&amp;Services'!H362)</f>
        <v/>
      </c>
      <c r="E348" s="2" t="str">
        <f>IF('H.W&amp;S.W&amp;Services'!I362=0,"",'H.W&amp;S.W&amp;Services'!I362)</f>
        <v/>
      </c>
      <c r="F348" s="3" t="str">
        <f>IF('H.W&amp;S.W&amp;Services'!J362=0,"",'H.W&amp;S.W&amp;Services'!J362)</f>
        <v/>
      </c>
      <c r="G348" s="4" t="str">
        <f>IF('H.W&amp;S.W&amp;Services'!O362=0,"",'H.W&amp;S.W&amp;Services'!O362)</f>
        <v/>
      </c>
      <c r="H348" s="2" t="str">
        <f>IF('H.W&amp;S.W&amp;Services'!B362=0,"",'H.W&amp;S.W&amp;Services'!B362) &amp; IF('H.W&amp;S.W&amp;Services'!F362=0,""," / "&amp;'H.W&amp;S.W&amp;Services'!F362) &amp; IF('H.W&amp;S.W&amp;Services'!G362=0,""," / "&amp;'H.W&amp;S.W&amp;Services'!G362)</f>
        <v/>
      </c>
      <c r="I348" t="str">
        <f>IF('H.W&amp;S.W&amp;Services'!D362=0,"",'H.W&amp;S.W&amp;Services'!D362)</f>
        <v/>
      </c>
      <c r="J348" s="2" t="str">
        <f>IF('H.W&amp;S.W&amp;Services'!E362=0,"",'H.W&amp;S.W&amp;Services'!E362)</f>
        <v/>
      </c>
    </row>
    <row r="349" spans="1:10" x14ac:dyDescent="0.2">
      <c r="A349" s="2" t="str">
        <f t="shared" ca="1" si="6"/>
        <v/>
      </c>
      <c r="B349" s="2" t="str">
        <f>IF('H.W&amp;S.W&amp;Services'!C363=0,"",'H.W&amp;S.W&amp;Services'!C363)</f>
        <v/>
      </c>
      <c r="C349" s="2" t="str">
        <f>IF('H.W&amp;S.W&amp;Services'!C363=0,"",'H.W&amp;S.W&amp;Services'!C363)</f>
        <v/>
      </c>
      <c r="D349" s="2" t="str">
        <f>IF('H.W&amp;S.W&amp;Services'!H363=0,"",'H.W&amp;S.W&amp;Services'!H363)</f>
        <v/>
      </c>
      <c r="E349" s="2" t="str">
        <f>IF('H.W&amp;S.W&amp;Services'!I363=0,"",'H.W&amp;S.W&amp;Services'!I363)</f>
        <v/>
      </c>
      <c r="F349" s="3" t="str">
        <f>IF('H.W&amp;S.W&amp;Services'!J363=0,"",'H.W&amp;S.W&amp;Services'!J363)</f>
        <v/>
      </c>
      <c r="G349" s="4" t="str">
        <f>IF('H.W&amp;S.W&amp;Services'!O363=0,"",'H.W&amp;S.W&amp;Services'!O363)</f>
        <v/>
      </c>
      <c r="H349" s="2" t="str">
        <f>IF('H.W&amp;S.W&amp;Services'!B363=0,"",'H.W&amp;S.W&amp;Services'!B363) &amp; IF('H.W&amp;S.W&amp;Services'!F363=0,""," / "&amp;'H.W&amp;S.W&amp;Services'!F363) &amp; IF('H.W&amp;S.W&amp;Services'!G363=0,""," / "&amp;'H.W&amp;S.W&amp;Services'!G363)</f>
        <v/>
      </c>
      <c r="I349" t="str">
        <f>IF('H.W&amp;S.W&amp;Services'!D363=0,"",'H.W&amp;S.W&amp;Services'!D363)</f>
        <v/>
      </c>
      <c r="J349" s="2" t="str">
        <f>IF('H.W&amp;S.W&amp;Services'!E363=0,"",'H.W&amp;S.W&amp;Services'!E363)</f>
        <v/>
      </c>
    </row>
    <row r="350" spans="1:10" x14ac:dyDescent="0.2">
      <c r="A350" s="2" t="str">
        <f t="shared" ca="1" si="6"/>
        <v/>
      </c>
      <c r="B350" s="2" t="str">
        <f>IF('H.W&amp;S.W&amp;Services'!C364=0,"",'H.W&amp;S.W&amp;Services'!C364)</f>
        <v/>
      </c>
      <c r="C350" s="2" t="str">
        <f>IF('H.W&amp;S.W&amp;Services'!C364=0,"",'H.W&amp;S.W&amp;Services'!C364)</f>
        <v/>
      </c>
      <c r="D350" s="2" t="str">
        <f>IF('H.W&amp;S.W&amp;Services'!H364=0,"",'H.W&amp;S.W&amp;Services'!H364)</f>
        <v/>
      </c>
      <c r="E350" s="2" t="str">
        <f>IF('H.W&amp;S.W&amp;Services'!I364=0,"",'H.W&amp;S.W&amp;Services'!I364)</f>
        <v/>
      </c>
      <c r="F350" s="3" t="str">
        <f>IF('H.W&amp;S.W&amp;Services'!J364=0,"",'H.W&amp;S.W&amp;Services'!J364)</f>
        <v/>
      </c>
      <c r="G350" s="4" t="str">
        <f>IF('H.W&amp;S.W&amp;Services'!O364=0,"",'H.W&amp;S.W&amp;Services'!O364)</f>
        <v/>
      </c>
      <c r="H350" s="2" t="str">
        <f>IF('H.W&amp;S.W&amp;Services'!B364=0,"",'H.W&amp;S.W&amp;Services'!B364) &amp; IF('H.W&amp;S.W&amp;Services'!F364=0,""," / "&amp;'H.W&amp;S.W&amp;Services'!F364) &amp; IF('H.W&amp;S.W&amp;Services'!G364=0,""," / "&amp;'H.W&amp;S.W&amp;Services'!G364)</f>
        <v/>
      </c>
      <c r="I350" t="str">
        <f>IF('H.W&amp;S.W&amp;Services'!D364=0,"",'H.W&amp;S.W&amp;Services'!D364)</f>
        <v/>
      </c>
      <c r="J350" s="2" t="str">
        <f>IF('H.W&amp;S.W&amp;Services'!E364=0,"",'H.W&amp;S.W&amp;Services'!E364)</f>
        <v/>
      </c>
    </row>
    <row r="351" spans="1:10" x14ac:dyDescent="0.2">
      <c r="A351" s="2" t="str">
        <f t="shared" ca="1" si="6"/>
        <v/>
      </c>
      <c r="B351" s="2" t="str">
        <f>IF('H.W&amp;S.W&amp;Services'!C365=0,"",'H.W&amp;S.W&amp;Services'!C365)</f>
        <v/>
      </c>
      <c r="C351" s="2" t="str">
        <f>IF('H.W&amp;S.W&amp;Services'!C365=0,"",'H.W&amp;S.W&amp;Services'!C365)</f>
        <v/>
      </c>
      <c r="D351" s="2" t="str">
        <f>IF('H.W&amp;S.W&amp;Services'!H365=0,"",'H.W&amp;S.W&amp;Services'!H365)</f>
        <v/>
      </c>
      <c r="E351" s="2" t="str">
        <f>IF('H.W&amp;S.W&amp;Services'!I365=0,"",'H.W&amp;S.W&amp;Services'!I365)</f>
        <v/>
      </c>
      <c r="F351" s="3" t="str">
        <f>IF('H.W&amp;S.W&amp;Services'!J365=0,"",'H.W&amp;S.W&amp;Services'!J365)</f>
        <v/>
      </c>
      <c r="G351" s="4" t="str">
        <f>IF('H.W&amp;S.W&amp;Services'!O365=0,"",'H.W&amp;S.W&amp;Services'!O365)</f>
        <v/>
      </c>
      <c r="H351" s="2" t="str">
        <f>IF('H.W&amp;S.W&amp;Services'!B365=0,"",'H.W&amp;S.W&amp;Services'!B365) &amp; IF('H.W&amp;S.W&amp;Services'!F365=0,""," / "&amp;'H.W&amp;S.W&amp;Services'!F365) &amp; IF('H.W&amp;S.W&amp;Services'!G365=0,""," / "&amp;'H.W&amp;S.W&amp;Services'!G365)</f>
        <v/>
      </c>
      <c r="I351" t="str">
        <f>IF('H.W&amp;S.W&amp;Services'!D365=0,"",'H.W&amp;S.W&amp;Services'!D365)</f>
        <v/>
      </c>
      <c r="J351" s="2" t="str">
        <f>IF('H.W&amp;S.W&amp;Services'!E365=0,"",'H.W&amp;S.W&amp;Services'!E365)</f>
        <v/>
      </c>
    </row>
    <row r="352" spans="1:10" x14ac:dyDescent="0.2">
      <c r="A352" s="2" t="str">
        <f t="shared" ca="1" si="6"/>
        <v/>
      </c>
      <c r="B352" s="2" t="str">
        <f>IF('H.W&amp;S.W&amp;Services'!C366=0,"",'H.W&amp;S.W&amp;Services'!C366)</f>
        <v/>
      </c>
      <c r="C352" s="2" t="str">
        <f>IF('H.W&amp;S.W&amp;Services'!C366=0,"",'H.W&amp;S.W&amp;Services'!C366)</f>
        <v/>
      </c>
      <c r="D352" s="2" t="str">
        <f>IF('H.W&amp;S.W&amp;Services'!H366=0,"",'H.W&amp;S.W&amp;Services'!H366)</f>
        <v/>
      </c>
      <c r="E352" s="2" t="str">
        <f>IF('H.W&amp;S.W&amp;Services'!I366=0,"",'H.W&amp;S.W&amp;Services'!I366)</f>
        <v/>
      </c>
      <c r="F352" s="3" t="str">
        <f>IF('H.W&amp;S.W&amp;Services'!J366=0,"",'H.W&amp;S.W&amp;Services'!J366)</f>
        <v/>
      </c>
      <c r="G352" s="4" t="str">
        <f>IF('H.W&amp;S.W&amp;Services'!O366=0,"",'H.W&amp;S.W&amp;Services'!O366)</f>
        <v/>
      </c>
      <c r="H352" s="2" t="str">
        <f>IF('H.W&amp;S.W&amp;Services'!B366=0,"",'H.W&amp;S.W&amp;Services'!B366) &amp; IF('H.W&amp;S.W&amp;Services'!F366=0,""," / "&amp;'H.W&amp;S.W&amp;Services'!F366) &amp; IF('H.W&amp;S.W&amp;Services'!G366=0,""," / "&amp;'H.W&amp;S.W&amp;Services'!G366)</f>
        <v/>
      </c>
      <c r="I352" t="str">
        <f>IF('H.W&amp;S.W&amp;Services'!D366=0,"",'H.W&amp;S.W&amp;Services'!D366)</f>
        <v/>
      </c>
      <c r="J352" s="2" t="str">
        <f>IF('H.W&amp;S.W&amp;Services'!E366=0,"",'H.W&amp;S.W&amp;Services'!E366)</f>
        <v/>
      </c>
    </row>
    <row r="353" spans="1:10" x14ac:dyDescent="0.2">
      <c r="A353" s="2" t="str">
        <f t="shared" ca="1" si="6"/>
        <v/>
      </c>
      <c r="B353" s="2" t="str">
        <f>IF('H.W&amp;S.W&amp;Services'!C367=0,"",'H.W&amp;S.W&amp;Services'!C367)</f>
        <v/>
      </c>
      <c r="C353" s="2" t="str">
        <f>IF('H.W&amp;S.W&amp;Services'!C367=0,"",'H.W&amp;S.W&amp;Services'!C367)</f>
        <v/>
      </c>
      <c r="D353" s="2" t="str">
        <f>IF('H.W&amp;S.W&amp;Services'!H367=0,"",'H.W&amp;S.W&amp;Services'!H367)</f>
        <v/>
      </c>
      <c r="E353" s="2" t="str">
        <f>IF('H.W&amp;S.W&amp;Services'!I367=0,"",'H.W&amp;S.W&amp;Services'!I367)</f>
        <v/>
      </c>
      <c r="F353" s="3" t="str">
        <f>IF('H.W&amp;S.W&amp;Services'!J367=0,"",'H.W&amp;S.W&amp;Services'!J367)</f>
        <v/>
      </c>
      <c r="G353" s="4" t="str">
        <f>IF('H.W&amp;S.W&amp;Services'!O367=0,"",'H.W&amp;S.W&amp;Services'!O367)</f>
        <v/>
      </c>
      <c r="H353" s="2" t="str">
        <f>IF('H.W&amp;S.W&amp;Services'!B367=0,"",'H.W&amp;S.W&amp;Services'!B367) &amp; IF('H.W&amp;S.W&amp;Services'!F367=0,""," / "&amp;'H.W&amp;S.W&amp;Services'!F367) &amp; IF('H.W&amp;S.W&amp;Services'!G367=0,""," / "&amp;'H.W&amp;S.W&amp;Services'!G367)</f>
        <v/>
      </c>
      <c r="I353" t="str">
        <f>IF('H.W&amp;S.W&amp;Services'!D367=0,"",'H.W&amp;S.W&amp;Services'!D367)</f>
        <v/>
      </c>
      <c r="J353" s="2" t="str">
        <f>IF('H.W&amp;S.W&amp;Services'!E367=0,"",'H.W&amp;S.W&amp;Services'!E367)</f>
        <v/>
      </c>
    </row>
    <row r="354" spans="1:10" x14ac:dyDescent="0.2">
      <c r="A354" s="2" t="str">
        <f t="shared" ca="1" si="6"/>
        <v/>
      </c>
      <c r="B354" s="2" t="str">
        <f>IF('H.W&amp;S.W&amp;Services'!C368=0,"",'H.W&amp;S.W&amp;Services'!C368)</f>
        <v/>
      </c>
      <c r="C354" s="2" t="str">
        <f>IF('H.W&amp;S.W&amp;Services'!C368=0,"",'H.W&amp;S.W&amp;Services'!C368)</f>
        <v/>
      </c>
      <c r="D354" s="2" t="str">
        <f>IF('H.W&amp;S.W&amp;Services'!H368=0,"",'H.W&amp;S.W&amp;Services'!H368)</f>
        <v/>
      </c>
      <c r="E354" s="2" t="str">
        <f>IF('H.W&amp;S.W&amp;Services'!I368=0,"",'H.W&amp;S.W&amp;Services'!I368)</f>
        <v/>
      </c>
      <c r="F354" s="3" t="str">
        <f>IF('H.W&amp;S.W&amp;Services'!J368=0,"",'H.W&amp;S.W&amp;Services'!J368)</f>
        <v/>
      </c>
      <c r="G354" s="4" t="str">
        <f>IF('H.W&amp;S.W&amp;Services'!O368=0,"",'H.W&amp;S.W&amp;Services'!O368)</f>
        <v/>
      </c>
      <c r="H354" s="2" t="str">
        <f>IF('H.W&amp;S.W&amp;Services'!B368=0,"",'H.W&amp;S.W&amp;Services'!B368) &amp; IF('H.W&amp;S.W&amp;Services'!F368=0,""," / "&amp;'H.W&amp;S.W&amp;Services'!F368) &amp; IF('H.W&amp;S.W&amp;Services'!G368=0,""," / "&amp;'H.W&amp;S.W&amp;Services'!G368)</f>
        <v/>
      </c>
      <c r="I354" t="str">
        <f>IF('H.W&amp;S.W&amp;Services'!D368=0,"",'H.W&amp;S.W&amp;Services'!D368)</f>
        <v/>
      </c>
      <c r="J354" s="2" t="str">
        <f>IF('H.W&amp;S.W&amp;Services'!E368=0,"",'H.W&amp;S.W&amp;Services'!E368)</f>
        <v/>
      </c>
    </row>
    <row r="355" spans="1:10" x14ac:dyDescent="0.2">
      <c r="A355" s="2" t="str">
        <f t="shared" ca="1" si="6"/>
        <v/>
      </c>
      <c r="B355" s="2" t="str">
        <f>IF('H.W&amp;S.W&amp;Services'!C369=0,"",'H.W&amp;S.W&amp;Services'!C369)</f>
        <v/>
      </c>
      <c r="C355" s="2" t="str">
        <f>IF('H.W&amp;S.W&amp;Services'!C369=0,"",'H.W&amp;S.W&amp;Services'!C369)</f>
        <v/>
      </c>
      <c r="D355" s="2" t="str">
        <f>IF('H.W&amp;S.W&amp;Services'!H369=0,"",'H.W&amp;S.W&amp;Services'!H369)</f>
        <v/>
      </c>
      <c r="E355" s="2" t="str">
        <f>IF('H.W&amp;S.W&amp;Services'!I369=0,"",'H.W&amp;S.W&amp;Services'!I369)</f>
        <v/>
      </c>
      <c r="F355" s="3" t="str">
        <f>IF('H.W&amp;S.W&amp;Services'!J369=0,"",'H.W&amp;S.W&amp;Services'!J369)</f>
        <v/>
      </c>
      <c r="G355" s="4" t="str">
        <f>IF('H.W&amp;S.W&amp;Services'!O369=0,"",'H.W&amp;S.W&amp;Services'!O369)</f>
        <v/>
      </c>
      <c r="H355" s="2" t="str">
        <f>IF('H.W&amp;S.W&amp;Services'!B369=0,"",'H.W&amp;S.W&amp;Services'!B369) &amp; IF('H.W&amp;S.W&amp;Services'!F369=0,""," / "&amp;'H.W&amp;S.W&amp;Services'!F369) &amp; IF('H.W&amp;S.W&amp;Services'!G369=0,""," / "&amp;'H.W&amp;S.W&amp;Services'!G369)</f>
        <v/>
      </c>
      <c r="I355" t="str">
        <f>IF('H.W&amp;S.W&amp;Services'!D369=0,"",'H.W&amp;S.W&amp;Services'!D369)</f>
        <v/>
      </c>
      <c r="J355" s="2" t="str">
        <f>IF('H.W&amp;S.W&amp;Services'!E369=0,"",'H.W&amp;S.W&amp;Services'!E369)</f>
        <v/>
      </c>
    </row>
    <row r="356" spans="1:10" x14ac:dyDescent="0.2">
      <c r="A356" s="2" t="str">
        <f t="shared" ca="1" si="6"/>
        <v/>
      </c>
      <c r="B356" s="2" t="str">
        <f>IF('H.W&amp;S.W&amp;Services'!C370=0,"",'H.W&amp;S.W&amp;Services'!C370)</f>
        <v/>
      </c>
      <c r="C356" s="2" t="str">
        <f>IF('H.W&amp;S.W&amp;Services'!C370=0,"",'H.W&amp;S.W&amp;Services'!C370)</f>
        <v/>
      </c>
      <c r="D356" s="2" t="str">
        <f>IF('H.W&amp;S.W&amp;Services'!H370=0,"",'H.W&amp;S.W&amp;Services'!H370)</f>
        <v/>
      </c>
      <c r="E356" s="2" t="str">
        <f>IF('H.W&amp;S.W&amp;Services'!I370=0,"",'H.W&amp;S.W&amp;Services'!I370)</f>
        <v/>
      </c>
      <c r="F356" s="3" t="str">
        <f>IF('H.W&amp;S.W&amp;Services'!J370=0,"",'H.W&amp;S.W&amp;Services'!J370)</f>
        <v/>
      </c>
      <c r="G356" s="4" t="str">
        <f>IF('H.W&amp;S.W&amp;Services'!O370=0,"",'H.W&amp;S.W&amp;Services'!O370)</f>
        <v/>
      </c>
      <c r="H356" s="2" t="str">
        <f>IF('H.W&amp;S.W&amp;Services'!B370=0,"",'H.W&amp;S.W&amp;Services'!B370) &amp; IF('H.W&amp;S.W&amp;Services'!F370=0,""," / "&amp;'H.W&amp;S.W&amp;Services'!F370) &amp; IF('H.W&amp;S.W&amp;Services'!G370=0,""," / "&amp;'H.W&amp;S.W&amp;Services'!G370)</f>
        <v/>
      </c>
      <c r="I356" t="str">
        <f>IF('H.W&amp;S.W&amp;Services'!D370=0,"",'H.W&amp;S.W&amp;Services'!D370)</f>
        <v/>
      </c>
      <c r="J356" s="2" t="str">
        <f>IF('H.W&amp;S.W&amp;Services'!E370=0,"",'H.W&amp;S.W&amp;Services'!E370)</f>
        <v/>
      </c>
    </row>
    <row r="357" spans="1:10" x14ac:dyDescent="0.2">
      <c r="A357" s="2" t="str">
        <f t="shared" ca="1" si="6"/>
        <v/>
      </c>
      <c r="B357" s="2" t="str">
        <f>IF('H.W&amp;S.W&amp;Services'!C371=0,"",'H.W&amp;S.W&amp;Services'!C371)</f>
        <v/>
      </c>
      <c r="C357" s="2" t="str">
        <f>IF('H.W&amp;S.W&amp;Services'!C371=0,"",'H.W&amp;S.W&amp;Services'!C371)</f>
        <v/>
      </c>
      <c r="D357" s="2" t="str">
        <f>IF('H.W&amp;S.W&amp;Services'!H371=0,"",'H.W&amp;S.W&amp;Services'!H371)</f>
        <v/>
      </c>
      <c r="E357" s="2" t="str">
        <f>IF('H.W&amp;S.W&amp;Services'!I371=0,"",'H.W&amp;S.W&amp;Services'!I371)</f>
        <v/>
      </c>
      <c r="F357" s="3" t="str">
        <f>IF('H.W&amp;S.W&amp;Services'!J371=0,"",'H.W&amp;S.W&amp;Services'!J371)</f>
        <v/>
      </c>
      <c r="G357" s="4" t="str">
        <f>IF('H.W&amp;S.W&amp;Services'!O371=0,"",'H.W&amp;S.W&amp;Services'!O371)</f>
        <v/>
      </c>
      <c r="H357" s="2" t="str">
        <f>IF('H.W&amp;S.W&amp;Services'!B371=0,"",'H.W&amp;S.W&amp;Services'!B371) &amp; IF('H.W&amp;S.W&amp;Services'!F371=0,""," / "&amp;'H.W&amp;S.W&amp;Services'!F371) &amp; IF('H.W&amp;S.W&amp;Services'!G371=0,""," / "&amp;'H.W&amp;S.W&amp;Services'!G371)</f>
        <v/>
      </c>
      <c r="I357" t="str">
        <f>IF('H.W&amp;S.W&amp;Services'!D371=0,"",'H.W&amp;S.W&amp;Services'!D371)</f>
        <v/>
      </c>
      <c r="J357" s="2" t="str">
        <f>IF('H.W&amp;S.W&amp;Services'!E371=0,"",'H.W&amp;S.W&amp;Services'!E371)</f>
        <v/>
      </c>
    </row>
    <row r="358" spans="1:10" x14ac:dyDescent="0.2">
      <c r="A358" s="2" t="str">
        <f t="shared" ca="1" si="6"/>
        <v/>
      </c>
      <c r="B358" s="2" t="str">
        <f>IF('H.W&amp;S.W&amp;Services'!C372=0,"",'H.W&amp;S.W&amp;Services'!C372)</f>
        <v/>
      </c>
      <c r="C358" s="2" t="str">
        <f>IF('H.W&amp;S.W&amp;Services'!C372=0,"",'H.W&amp;S.W&amp;Services'!C372)</f>
        <v/>
      </c>
      <c r="D358" s="2" t="str">
        <f>IF('H.W&amp;S.W&amp;Services'!H372=0,"",'H.W&amp;S.W&amp;Services'!H372)</f>
        <v/>
      </c>
      <c r="E358" s="2" t="str">
        <f>IF('H.W&amp;S.W&amp;Services'!I372=0,"",'H.W&amp;S.W&amp;Services'!I372)</f>
        <v/>
      </c>
      <c r="F358" s="3" t="str">
        <f>IF('H.W&amp;S.W&amp;Services'!J372=0,"",'H.W&amp;S.W&amp;Services'!J372)</f>
        <v/>
      </c>
      <c r="G358" s="4" t="str">
        <f>IF('H.W&amp;S.W&amp;Services'!O372=0,"",'H.W&amp;S.W&amp;Services'!O372)</f>
        <v/>
      </c>
      <c r="H358" s="2" t="str">
        <f>IF('H.W&amp;S.W&amp;Services'!B372=0,"",'H.W&amp;S.W&amp;Services'!B372) &amp; IF('H.W&amp;S.W&amp;Services'!F372=0,""," / "&amp;'H.W&amp;S.W&amp;Services'!F372) &amp; IF('H.W&amp;S.W&amp;Services'!G372=0,""," / "&amp;'H.W&amp;S.W&amp;Services'!G372)</f>
        <v/>
      </c>
      <c r="I358" t="str">
        <f>IF('H.W&amp;S.W&amp;Services'!D372=0,"",'H.W&amp;S.W&amp;Services'!D372)</f>
        <v/>
      </c>
      <c r="J358" s="2" t="str">
        <f>IF('H.W&amp;S.W&amp;Services'!E372=0,"",'H.W&amp;S.W&amp;Services'!E372)</f>
        <v/>
      </c>
    </row>
    <row r="359" spans="1:10" x14ac:dyDescent="0.2">
      <c r="A359" s="2" t="str">
        <f t="shared" ca="1" si="6"/>
        <v/>
      </c>
      <c r="B359" s="2" t="str">
        <f>IF('H.W&amp;S.W&amp;Services'!C373=0,"",'H.W&amp;S.W&amp;Services'!C373)</f>
        <v/>
      </c>
      <c r="C359" s="2" t="str">
        <f>IF('H.W&amp;S.W&amp;Services'!C373=0,"",'H.W&amp;S.W&amp;Services'!C373)</f>
        <v/>
      </c>
      <c r="D359" s="2" t="str">
        <f>IF('H.W&amp;S.W&amp;Services'!H373=0,"",'H.W&amp;S.W&amp;Services'!H373)</f>
        <v/>
      </c>
      <c r="E359" s="2" t="str">
        <f>IF('H.W&amp;S.W&amp;Services'!I373=0,"",'H.W&amp;S.W&amp;Services'!I373)</f>
        <v/>
      </c>
      <c r="F359" s="3" t="str">
        <f>IF('H.W&amp;S.W&amp;Services'!J373=0,"",'H.W&amp;S.W&amp;Services'!J373)</f>
        <v/>
      </c>
      <c r="G359" s="4" t="str">
        <f>IF('H.W&amp;S.W&amp;Services'!O373=0,"",'H.W&amp;S.W&amp;Services'!O373)</f>
        <v/>
      </c>
      <c r="H359" s="2" t="str">
        <f>IF('H.W&amp;S.W&amp;Services'!B373=0,"",'H.W&amp;S.W&amp;Services'!B373) &amp; IF('H.W&amp;S.W&amp;Services'!F373=0,""," / "&amp;'H.W&amp;S.W&amp;Services'!F373) &amp; IF('H.W&amp;S.W&amp;Services'!G373=0,""," / "&amp;'H.W&amp;S.W&amp;Services'!G373)</f>
        <v/>
      </c>
      <c r="I359" t="str">
        <f>IF('H.W&amp;S.W&amp;Services'!D373=0,"",'H.W&amp;S.W&amp;Services'!D373)</f>
        <v/>
      </c>
      <c r="J359" s="2" t="str">
        <f>IF('H.W&amp;S.W&amp;Services'!E373=0,"",'H.W&amp;S.W&amp;Services'!E373)</f>
        <v/>
      </c>
    </row>
    <row r="360" spans="1:10" x14ac:dyDescent="0.2">
      <c r="A360" s="2" t="str">
        <f t="shared" ca="1" si="6"/>
        <v/>
      </c>
      <c r="B360" s="2" t="str">
        <f>IF('H.W&amp;S.W&amp;Services'!C374=0,"",'H.W&amp;S.W&amp;Services'!C374)</f>
        <v/>
      </c>
      <c r="C360" s="2" t="str">
        <f>IF('H.W&amp;S.W&amp;Services'!C374=0,"",'H.W&amp;S.W&amp;Services'!C374)</f>
        <v/>
      </c>
      <c r="D360" s="2" t="str">
        <f>IF('H.W&amp;S.W&amp;Services'!H374=0,"",'H.W&amp;S.W&amp;Services'!H374)</f>
        <v/>
      </c>
      <c r="E360" s="2" t="str">
        <f>IF('H.W&amp;S.W&amp;Services'!I374=0,"",'H.W&amp;S.W&amp;Services'!I374)</f>
        <v/>
      </c>
      <c r="F360" s="3" t="str">
        <f>IF('H.W&amp;S.W&amp;Services'!J374=0,"",'H.W&amp;S.W&amp;Services'!J374)</f>
        <v/>
      </c>
      <c r="G360" s="4" t="str">
        <f>IF('H.W&amp;S.W&amp;Services'!O374=0,"",'H.W&amp;S.W&amp;Services'!O374)</f>
        <v/>
      </c>
      <c r="H360" s="2" t="str">
        <f>IF('H.W&amp;S.W&amp;Services'!B374=0,"",'H.W&amp;S.W&amp;Services'!B374) &amp; IF('H.W&amp;S.W&amp;Services'!F374=0,""," / "&amp;'H.W&amp;S.W&amp;Services'!F374) &amp; IF('H.W&amp;S.W&amp;Services'!G374=0,""," / "&amp;'H.W&amp;S.W&amp;Services'!G374)</f>
        <v/>
      </c>
      <c r="I360" t="str">
        <f>IF('H.W&amp;S.W&amp;Services'!D374=0,"",'H.W&amp;S.W&amp;Services'!D374)</f>
        <v/>
      </c>
      <c r="J360" s="2" t="str">
        <f>IF('H.W&amp;S.W&amp;Services'!E374=0,"",'H.W&amp;S.W&amp;Services'!E374)</f>
        <v/>
      </c>
    </row>
    <row r="361" spans="1:10" x14ac:dyDescent="0.2">
      <c r="A361" s="2" t="str">
        <f t="shared" ca="1" si="6"/>
        <v/>
      </c>
      <c r="B361" s="2" t="str">
        <f>IF('H.W&amp;S.W&amp;Services'!C375=0,"",'H.W&amp;S.W&amp;Services'!C375)</f>
        <v/>
      </c>
      <c r="C361" s="2" t="str">
        <f>IF('H.W&amp;S.W&amp;Services'!C375=0,"",'H.W&amp;S.W&amp;Services'!C375)</f>
        <v/>
      </c>
      <c r="D361" s="2" t="str">
        <f>IF('H.W&amp;S.W&amp;Services'!H375=0,"",'H.W&amp;S.W&amp;Services'!H375)</f>
        <v/>
      </c>
      <c r="E361" s="2" t="str">
        <f>IF('H.W&amp;S.W&amp;Services'!I375=0,"",'H.W&amp;S.W&amp;Services'!I375)</f>
        <v/>
      </c>
      <c r="F361" s="3" t="str">
        <f>IF('H.W&amp;S.W&amp;Services'!J375=0,"",'H.W&amp;S.W&amp;Services'!J375)</f>
        <v/>
      </c>
      <c r="G361" s="4" t="str">
        <f>IF('H.W&amp;S.W&amp;Services'!O375=0,"",'H.W&amp;S.W&amp;Services'!O375)</f>
        <v/>
      </c>
      <c r="H361" s="2" t="str">
        <f>IF('H.W&amp;S.W&amp;Services'!B375=0,"",'H.W&amp;S.W&amp;Services'!B375) &amp; IF('H.W&amp;S.W&amp;Services'!F375=0,""," / "&amp;'H.W&amp;S.W&amp;Services'!F375) &amp; IF('H.W&amp;S.W&amp;Services'!G375=0,""," / "&amp;'H.W&amp;S.W&amp;Services'!G375)</f>
        <v/>
      </c>
      <c r="I361" t="str">
        <f>IF('H.W&amp;S.W&amp;Services'!D375=0,"",'H.W&amp;S.W&amp;Services'!D375)</f>
        <v/>
      </c>
      <c r="J361" s="2" t="str">
        <f>IF('H.W&amp;S.W&amp;Services'!E375=0,"",'H.W&amp;S.W&amp;Services'!E375)</f>
        <v/>
      </c>
    </row>
    <row r="362" spans="1:10" x14ac:dyDescent="0.2">
      <c r="A362" s="2" t="str">
        <f t="shared" ca="1" si="6"/>
        <v/>
      </c>
      <c r="B362" s="2" t="str">
        <f>IF('H.W&amp;S.W&amp;Services'!C376=0,"",'H.W&amp;S.W&amp;Services'!C376)</f>
        <v/>
      </c>
      <c r="C362" s="2" t="str">
        <f>IF('H.W&amp;S.W&amp;Services'!C376=0,"",'H.W&amp;S.W&amp;Services'!C376)</f>
        <v/>
      </c>
      <c r="D362" s="2" t="str">
        <f>IF('H.W&amp;S.W&amp;Services'!H376=0,"",'H.W&amp;S.W&amp;Services'!H376)</f>
        <v/>
      </c>
      <c r="E362" s="2" t="str">
        <f>IF('H.W&amp;S.W&amp;Services'!I376=0,"",'H.W&amp;S.W&amp;Services'!I376)</f>
        <v/>
      </c>
      <c r="F362" s="3" t="str">
        <f>IF('H.W&amp;S.W&amp;Services'!J376=0,"",'H.W&amp;S.W&amp;Services'!J376)</f>
        <v/>
      </c>
      <c r="G362" s="4" t="str">
        <f>IF('H.W&amp;S.W&amp;Services'!O376=0,"",'H.W&amp;S.W&amp;Services'!O376)</f>
        <v/>
      </c>
      <c r="H362" s="2" t="str">
        <f>IF('H.W&amp;S.W&amp;Services'!B376=0,"",'H.W&amp;S.W&amp;Services'!B376) &amp; IF('H.W&amp;S.W&amp;Services'!F376=0,""," / "&amp;'H.W&amp;S.W&amp;Services'!F376) &amp; IF('H.W&amp;S.W&amp;Services'!G376=0,""," / "&amp;'H.W&amp;S.W&amp;Services'!G376)</f>
        <v/>
      </c>
      <c r="I362" t="str">
        <f>IF('H.W&amp;S.W&amp;Services'!D376=0,"",'H.W&amp;S.W&amp;Services'!D376)</f>
        <v/>
      </c>
      <c r="J362" s="2" t="str">
        <f>IF('H.W&amp;S.W&amp;Services'!E376=0,"",'H.W&amp;S.W&amp;Services'!E376)</f>
        <v/>
      </c>
    </row>
    <row r="363" spans="1:10" x14ac:dyDescent="0.2">
      <c r="A363" s="2" t="str">
        <f t="shared" ca="1" si="6"/>
        <v/>
      </c>
      <c r="B363" s="2" t="str">
        <f>IF('H.W&amp;S.W&amp;Services'!C377=0,"",'H.W&amp;S.W&amp;Services'!C377)</f>
        <v/>
      </c>
      <c r="C363" s="2" t="str">
        <f>IF('H.W&amp;S.W&amp;Services'!C377=0,"",'H.W&amp;S.W&amp;Services'!C377)</f>
        <v/>
      </c>
      <c r="D363" s="2" t="str">
        <f>IF('H.W&amp;S.W&amp;Services'!H377=0,"",'H.W&amp;S.W&amp;Services'!H377)</f>
        <v/>
      </c>
      <c r="E363" s="2" t="str">
        <f>IF('H.W&amp;S.W&amp;Services'!I377=0,"",'H.W&amp;S.W&amp;Services'!I377)</f>
        <v/>
      </c>
      <c r="F363" s="3" t="str">
        <f>IF('H.W&amp;S.W&amp;Services'!J377=0,"",'H.W&amp;S.W&amp;Services'!J377)</f>
        <v/>
      </c>
      <c r="G363" s="4" t="str">
        <f>IF('H.W&amp;S.W&amp;Services'!O377=0,"",'H.W&amp;S.W&amp;Services'!O377)</f>
        <v/>
      </c>
      <c r="H363" s="2" t="str">
        <f>IF('H.W&amp;S.W&amp;Services'!B377=0,"",'H.W&amp;S.W&amp;Services'!B377) &amp; IF('H.W&amp;S.W&amp;Services'!F377=0,""," / "&amp;'H.W&amp;S.W&amp;Services'!F377) &amp; IF('H.W&amp;S.W&amp;Services'!G377=0,""," / "&amp;'H.W&amp;S.W&amp;Services'!G377)</f>
        <v/>
      </c>
      <c r="I363" t="str">
        <f>IF('H.W&amp;S.W&amp;Services'!D377=0,"",'H.W&amp;S.W&amp;Services'!D377)</f>
        <v/>
      </c>
      <c r="J363" s="2" t="str">
        <f>IF('H.W&amp;S.W&amp;Services'!E377=0,"",'H.W&amp;S.W&amp;Services'!E377)</f>
        <v/>
      </c>
    </row>
    <row r="364" spans="1:10" x14ac:dyDescent="0.2">
      <c r="A364" s="2" t="str">
        <f t="shared" ca="1" si="6"/>
        <v/>
      </c>
      <c r="B364" s="2" t="str">
        <f>IF('H.W&amp;S.W&amp;Services'!C378=0,"",'H.W&amp;S.W&amp;Services'!C378)</f>
        <v/>
      </c>
      <c r="C364" s="2" t="str">
        <f>IF('H.W&amp;S.W&amp;Services'!C378=0,"",'H.W&amp;S.W&amp;Services'!C378)</f>
        <v/>
      </c>
      <c r="D364" s="2" t="str">
        <f>IF('H.W&amp;S.W&amp;Services'!H378=0,"",'H.W&amp;S.W&amp;Services'!H378)</f>
        <v/>
      </c>
      <c r="E364" s="2" t="str">
        <f>IF('H.W&amp;S.W&amp;Services'!I378=0,"",'H.W&amp;S.W&amp;Services'!I378)</f>
        <v/>
      </c>
      <c r="F364" s="3" t="str">
        <f>IF('H.W&amp;S.W&amp;Services'!J378=0,"",'H.W&amp;S.W&amp;Services'!J378)</f>
        <v/>
      </c>
      <c r="G364" s="4" t="str">
        <f>IF('H.W&amp;S.W&amp;Services'!O378=0,"",'H.W&amp;S.W&amp;Services'!O378)</f>
        <v/>
      </c>
      <c r="H364" s="2" t="str">
        <f>IF('H.W&amp;S.W&amp;Services'!B378=0,"",'H.W&amp;S.W&amp;Services'!B378) &amp; IF('H.W&amp;S.W&amp;Services'!F378=0,""," / "&amp;'H.W&amp;S.W&amp;Services'!F378) &amp; IF('H.W&amp;S.W&amp;Services'!G378=0,""," / "&amp;'H.W&amp;S.W&amp;Services'!G378)</f>
        <v/>
      </c>
      <c r="I364" t="str">
        <f>IF('H.W&amp;S.W&amp;Services'!D378=0,"",'H.W&amp;S.W&amp;Services'!D378)</f>
        <v/>
      </c>
      <c r="J364" s="2" t="str">
        <f>IF('H.W&amp;S.W&amp;Services'!E378=0,"",'H.W&amp;S.W&amp;Services'!E378)</f>
        <v/>
      </c>
    </row>
    <row r="365" spans="1:10" x14ac:dyDescent="0.2">
      <c r="A365" s="2" t="str">
        <f t="shared" ca="1" si="6"/>
        <v/>
      </c>
      <c r="B365" s="2" t="str">
        <f>IF('H.W&amp;S.W&amp;Services'!C379=0,"",'H.W&amp;S.W&amp;Services'!C379)</f>
        <v/>
      </c>
      <c r="C365" s="2" t="str">
        <f>IF('H.W&amp;S.W&amp;Services'!C379=0,"",'H.W&amp;S.W&amp;Services'!C379)</f>
        <v/>
      </c>
      <c r="D365" s="2" t="str">
        <f>IF('H.W&amp;S.W&amp;Services'!H379=0,"",'H.W&amp;S.W&amp;Services'!H379)</f>
        <v/>
      </c>
      <c r="E365" s="2" t="str">
        <f>IF('H.W&amp;S.W&amp;Services'!I379=0,"",'H.W&amp;S.W&amp;Services'!I379)</f>
        <v/>
      </c>
      <c r="F365" s="3" t="str">
        <f>IF('H.W&amp;S.W&amp;Services'!J379=0,"",'H.W&amp;S.W&amp;Services'!J379)</f>
        <v/>
      </c>
      <c r="G365" s="4" t="str">
        <f>IF('H.W&amp;S.W&amp;Services'!O379=0,"",'H.W&amp;S.W&amp;Services'!O379)</f>
        <v/>
      </c>
      <c r="H365" s="2" t="str">
        <f>IF('H.W&amp;S.W&amp;Services'!B379=0,"",'H.W&amp;S.W&amp;Services'!B379) &amp; IF('H.W&amp;S.W&amp;Services'!F379=0,""," / "&amp;'H.W&amp;S.W&amp;Services'!F379) &amp; IF('H.W&amp;S.W&amp;Services'!G379=0,""," / "&amp;'H.W&amp;S.W&amp;Services'!G379)</f>
        <v/>
      </c>
      <c r="I365" t="str">
        <f>IF('H.W&amp;S.W&amp;Services'!D379=0,"",'H.W&amp;S.W&amp;Services'!D379)</f>
        <v/>
      </c>
      <c r="J365" s="2" t="str">
        <f>IF('H.W&amp;S.W&amp;Services'!E379=0,"",'H.W&amp;S.W&amp;Services'!E379)</f>
        <v/>
      </c>
    </row>
    <row r="366" spans="1:10" x14ac:dyDescent="0.2">
      <c r="A366" s="2" t="str">
        <f t="shared" ca="1" si="6"/>
        <v/>
      </c>
      <c r="B366" s="2" t="str">
        <f>IF('H.W&amp;S.W&amp;Services'!C380=0,"",'H.W&amp;S.W&amp;Services'!C380)</f>
        <v/>
      </c>
      <c r="C366" s="2" t="str">
        <f>IF('H.W&amp;S.W&amp;Services'!C380=0,"",'H.W&amp;S.W&amp;Services'!C380)</f>
        <v/>
      </c>
      <c r="D366" s="2" t="str">
        <f>IF('H.W&amp;S.W&amp;Services'!H380=0,"",'H.W&amp;S.W&amp;Services'!H380)</f>
        <v/>
      </c>
      <c r="E366" s="2" t="str">
        <f>IF('H.W&amp;S.W&amp;Services'!I380=0,"",'H.W&amp;S.W&amp;Services'!I380)</f>
        <v/>
      </c>
      <c r="F366" s="3" t="str">
        <f>IF('H.W&amp;S.W&amp;Services'!J380=0,"",'H.W&amp;S.W&amp;Services'!J380)</f>
        <v/>
      </c>
      <c r="G366" s="4" t="str">
        <f>IF('H.W&amp;S.W&amp;Services'!O380=0,"",'H.W&amp;S.W&amp;Services'!O380)</f>
        <v/>
      </c>
      <c r="H366" s="2" t="str">
        <f>IF('H.W&amp;S.W&amp;Services'!B380=0,"",'H.W&amp;S.W&amp;Services'!B380) &amp; IF('H.W&amp;S.W&amp;Services'!F380=0,""," / "&amp;'H.W&amp;S.W&amp;Services'!F380) &amp; IF('H.W&amp;S.W&amp;Services'!G380=0,""," / "&amp;'H.W&amp;S.W&amp;Services'!G380)</f>
        <v/>
      </c>
      <c r="I366" t="str">
        <f>IF('H.W&amp;S.W&amp;Services'!D380=0,"",'H.W&amp;S.W&amp;Services'!D380)</f>
        <v/>
      </c>
      <c r="J366" s="2" t="str">
        <f>IF('H.W&amp;S.W&amp;Services'!E380=0,"",'H.W&amp;S.W&amp;Services'!E380)</f>
        <v/>
      </c>
    </row>
    <row r="367" spans="1:10" x14ac:dyDescent="0.2">
      <c r="A367" s="2" t="str">
        <f t="shared" ca="1" si="6"/>
        <v/>
      </c>
      <c r="B367" s="2" t="str">
        <f>IF('H.W&amp;S.W&amp;Services'!C381=0,"",'H.W&amp;S.W&amp;Services'!C381)</f>
        <v/>
      </c>
      <c r="C367" s="2" t="str">
        <f>IF('H.W&amp;S.W&amp;Services'!C381=0,"",'H.W&amp;S.W&amp;Services'!C381)</f>
        <v/>
      </c>
      <c r="D367" s="2" t="str">
        <f>IF('H.W&amp;S.W&amp;Services'!H381=0,"",'H.W&amp;S.W&amp;Services'!H381)</f>
        <v/>
      </c>
      <c r="E367" s="2" t="str">
        <f>IF('H.W&amp;S.W&amp;Services'!I381=0,"",'H.W&amp;S.W&amp;Services'!I381)</f>
        <v/>
      </c>
      <c r="F367" s="3" t="str">
        <f>IF('H.W&amp;S.W&amp;Services'!J381=0,"",'H.W&amp;S.W&amp;Services'!J381)</f>
        <v/>
      </c>
      <c r="G367" s="4" t="str">
        <f>IF('H.W&amp;S.W&amp;Services'!O381=0,"",'H.W&amp;S.W&amp;Services'!O381)</f>
        <v/>
      </c>
      <c r="H367" s="2" t="str">
        <f>IF('H.W&amp;S.W&amp;Services'!B381=0,"",'H.W&amp;S.W&amp;Services'!B381) &amp; IF('H.W&amp;S.W&amp;Services'!F381=0,""," / "&amp;'H.W&amp;S.W&amp;Services'!F381) &amp; IF('H.W&amp;S.W&amp;Services'!G381=0,""," / "&amp;'H.W&amp;S.W&amp;Services'!G381)</f>
        <v/>
      </c>
      <c r="I367" t="str">
        <f>IF('H.W&amp;S.W&amp;Services'!D381=0,"",'H.W&amp;S.W&amp;Services'!D381)</f>
        <v/>
      </c>
      <c r="J367" s="2" t="str">
        <f>IF('H.W&amp;S.W&amp;Services'!E381=0,"",'H.W&amp;S.W&amp;Services'!E381)</f>
        <v/>
      </c>
    </row>
    <row r="368" spans="1:10" x14ac:dyDescent="0.2">
      <c r="A368" s="2" t="str">
        <f t="shared" ca="1" si="6"/>
        <v/>
      </c>
      <c r="B368" s="2" t="str">
        <f>IF('H.W&amp;S.W&amp;Services'!C382=0,"",'H.W&amp;S.W&amp;Services'!C382)</f>
        <v/>
      </c>
      <c r="C368" s="2" t="str">
        <f>IF('H.W&amp;S.W&amp;Services'!C382=0,"",'H.W&amp;S.W&amp;Services'!C382)</f>
        <v/>
      </c>
      <c r="D368" s="2" t="str">
        <f>IF('H.W&amp;S.W&amp;Services'!H382=0,"",'H.W&amp;S.W&amp;Services'!H382)</f>
        <v/>
      </c>
      <c r="E368" s="2" t="str">
        <f>IF('H.W&amp;S.W&amp;Services'!I382=0,"",'H.W&amp;S.W&amp;Services'!I382)</f>
        <v/>
      </c>
      <c r="F368" s="3" t="str">
        <f>IF('H.W&amp;S.W&amp;Services'!J382=0,"",'H.W&amp;S.W&amp;Services'!J382)</f>
        <v/>
      </c>
      <c r="G368" s="4" t="str">
        <f>IF('H.W&amp;S.W&amp;Services'!O382=0,"",'H.W&amp;S.W&amp;Services'!O382)</f>
        <v/>
      </c>
      <c r="H368" s="2" t="str">
        <f>IF('H.W&amp;S.W&amp;Services'!B382=0,"",'H.W&amp;S.W&amp;Services'!B382) &amp; IF('H.W&amp;S.W&amp;Services'!F382=0,""," / "&amp;'H.W&amp;S.W&amp;Services'!F382) &amp; IF('H.W&amp;S.W&amp;Services'!G382=0,""," / "&amp;'H.W&amp;S.W&amp;Services'!G382)</f>
        <v/>
      </c>
      <c r="I368" t="str">
        <f>IF('H.W&amp;S.W&amp;Services'!D382=0,"",'H.W&amp;S.W&amp;Services'!D382)</f>
        <v/>
      </c>
      <c r="J368" s="2" t="str">
        <f>IF('H.W&amp;S.W&amp;Services'!E382=0,"",'H.W&amp;S.W&amp;Services'!E382)</f>
        <v/>
      </c>
    </row>
    <row r="369" spans="1:10" x14ac:dyDescent="0.2">
      <c r="A369" s="2" t="str">
        <f t="shared" ca="1" si="6"/>
        <v/>
      </c>
      <c r="B369" s="2" t="str">
        <f>IF('H.W&amp;S.W&amp;Services'!C383=0,"",'H.W&amp;S.W&amp;Services'!C383)</f>
        <v/>
      </c>
      <c r="C369" s="2" t="str">
        <f>IF('H.W&amp;S.W&amp;Services'!C383=0,"",'H.W&amp;S.W&amp;Services'!C383)</f>
        <v/>
      </c>
      <c r="D369" s="2" t="str">
        <f>IF('H.W&amp;S.W&amp;Services'!H383=0,"",'H.W&amp;S.W&amp;Services'!H383)</f>
        <v/>
      </c>
      <c r="E369" s="2" t="str">
        <f>IF('H.W&amp;S.W&amp;Services'!I383=0,"",'H.W&amp;S.W&amp;Services'!I383)</f>
        <v/>
      </c>
      <c r="F369" s="3" t="str">
        <f>IF('H.W&amp;S.W&amp;Services'!J383=0,"",'H.W&amp;S.W&amp;Services'!J383)</f>
        <v/>
      </c>
      <c r="G369" s="4" t="str">
        <f>IF('H.W&amp;S.W&amp;Services'!O383=0,"",'H.W&amp;S.W&amp;Services'!O383)</f>
        <v/>
      </c>
      <c r="H369" s="2" t="str">
        <f>IF('H.W&amp;S.W&amp;Services'!B383=0,"",'H.W&amp;S.W&amp;Services'!B383) &amp; IF('H.W&amp;S.W&amp;Services'!F383=0,""," / "&amp;'H.W&amp;S.W&amp;Services'!F383) &amp; IF('H.W&amp;S.W&amp;Services'!G383=0,""," / "&amp;'H.W&amp;S.W&amp;Services'!G383)</f>
        <v/>
      </c>
      <c r="I369" t="str">
        <f>IF('H.W&amp;S.W&amp;Services'!D383=0,"",'H.W&amp;S.W&amp;Services'!D383)</f>
        <v/>
      </c>
      <c r="J369" s="2" t="str">
        <f>IF('H.W&amp;S.W&amp;Services'!E383=0,"",'H.W&amp;S.W&amp;Services'!E383)</f>
        <v/>
      </c>
    </row>
    <row r="370" spans="1:10" x14ac:dyDescent="0.2">
      <c r="A370" s="2" t="str">
        <f t="shared" ca="1" si="6"/>
        <v/>
      </c>
      <c r="B370" s="2" t="str">
        <f>IF('H.W&amp;S.W&amp;Services'!C384=0,"",'H.W&amp;S.W&amp;Services'!C384)</f>
        <v/>
      </c>
      <c r="C370" s="2" t="str">
        <f>IF('H.W&amp;S.W&amp;Services'!C384=0,"",'H.W&amp;S.W&amp;Services'!C384)</f>
        <v/>
      </c>
      <c r="D370" s="2" t="str">
        <f>IF('H.W&amp;S.W&amp;Services'!H384=0,"",'H.W&amp;S.W&amp;Services'!H384)</f>
        <v/>
      </c>
      <c r="E370" s="2" t="str">
        <f>IF('H.W&amp;S.W&amp;Services'!I384=0,"",'H.W&amp;S.W&amp;Services'!I384)</f>
        <v/>
      </c>
      <c r="F370" s="3" t="str">
        <f>IF('H.W&amp;S.W&amp;Services'!J384=0,"",'H.W&amp;S.W&amp;Services'!J384)</f>
        <v/>
      </c>
      <c r="G370" s="4" t="str">
        <f>IF('H.W&amp;S.W&amp;Services'!O384=0,"",'H.W&amp;S.W&amp;Services'!O384)</f>
        <v/>
      </c>
      <c r="H370" s="2" t="str">
        <f>IF('H.W&amp;S.W&amp;Services'!B384=0,"",'H.W&amp;S.W&amp;Services'!B384) &amp; IF('H.W&amp;S.W&amp;Services'!F384=0,""," / "&amp;'H.W&amp;S.W&amp;Services'!F384) &amp; IF('H.W&amp;S.W&amp;Services'!G384=0,""," / "&amp;'H.W&amp;S.W&amp;Services'!G384)</f>
        <v/>
      </c>
      <c r="I370" t="str">
        <f>IF('H.W&amp;S.W&amp;Services'!D384=0,"",'H.W&amp;S.W&amp;Services'!D384)</f>
        <v/>
      </c>
      <c r="J370" s="2" t="str">
        <f>IF('H.W&amp;S.W&amp;Services'!E384=0,"",'H.W&amp;S.W&amp;Services'!E384)</f>
        <v/>
      </c>
    </row>
    <row r="371" spans="1:10" x14ac:dyDescent="0.2">
      <c r="A371" s="2" t="str">
        <f t="shared" ca="1" si="6"/>
        <v/>
      </c>
      <c r="B371" s="2" t="str">
        <f>IF('H.W&amp;S.W&amp;Services'!C385=0,"",'H.W&amp;S.W&amp;Services'!C385)</f>
        <v/>
      </c>
      <c r="C371" s="2" t="str">
        <f>IF('H.W&amp;S.W&amp;Services'!C385=0,"",'H.W&amp;S.W&amp;Services'!C385)</f>
        <v/>
      </c>
      <c r="D371" s="2" t="str">
        <f>IF('H.W&amp;S.W&amp;Services'!H385=0,"",'H.W&amp;S.W&amp;Services'!H385)</f>
        <v/>
      </c>
      <c r="E371" s="2" t="str">
        <f>IF('H.W&amp;S.W&amp;Services'!I385=0,"",'H.W&amp;S.W&amp;Services'!I385)</f>
        <v/>
      </c>
      <c r="F371" s="3" t="str">
        <f>IF('H.W&amp;S.W&amp;Services'!J385=0,"",'H.W&amp;S.W&amp;Services'!J385)</f>
        <v/>
      </c>
      <c r="G371" s="4" t="str">
        <f>IF('H.W&amp;S.W&amp;Services'!O385=0,"",'H.W&amp;S.W&amp;Services'!O385)</f>
        <v/>
      </c>
      <c r="H371" s="2" t="str">
        <f>IF('H.W&amp;S.W&amp;Services'!B385=0,"",'H.W&amp;S.W&amp;Services'!B385) &amp; IF('H.W&amp;S.W&amp;Services'!F385=0,""," / "&amp;'H.W&amp;S.W&amp;Services'!F385) &amp; IF('H.W&amp;S.W&amp;Services'!G385=0,""," / "&amp;'H.W&amp;S.W&amp;Services'!G385)</f>
        <v/>
      </c>
      <c r="I371" t="str">
        <f>IF('H.W&amp;S.W&amp;Services'!D385=0,"",'H.W&amp;S.W&amp;Services'!D385)</f>
        <v/>
      </c>
      <c r="J371" s="2" t="str">
        <f>IF('H.W&amp;S.W&amp;Services'!E385=0,"",'H.W&amp;S.W&amp;Services'!E385)</f>
        <v/>
      </c>
    </row>
    <row r="372" spans="1:10" x14ac:dyDescent="0.2">
      <c r="A372" s="2" t="str">
        <f t="shared" ca="1" si="6"/>
        <v/>
      </c>
      <c r="B372" s="2" t="str">
        <f>IF('H.W&amp;S.W&amp;Services'!C386=0,"",'H.W&amp;S.W&amp;Services'!C386)</f>
        <v/>
      </c>
      <c r="C372" s="2" t="str">
        <f>IF('H.W&amp;S.W&amp;Services'!C386=0,"",'H.W&amp;S.W&amp;Services'!C386)</f>
        <v/>
      </c>
      <c r="D372" s="2" t="str">
        <f>IF('H.W&amp;S.W&amp;Services'!H386=0,"",'H.W&amp;S.W&amp;Services'!H386)</f>
        <v/>
      </c>
      <c r="E372" s="2" t="str">
        <f>IF('H.W&amp;S.W&amp;Services'!I386=0,"",'H.W&amp;S.W&amp;Services'!I386)</f>
        <v/>
      </c>
      <c r="F372" s="3" t="str">
        <f>IF('H.W&amp;S.W&amp;Services'!J386=0,"",'H.W&amp;S.W&amp;Services'!J386)</f>
        <v/>
      </c>
      <c r="G372" s="4" t="str">
        <f>IF('H.W&amp;S.W&amp;Services'!O386=0,"",'H.W&amp;S.W&amp;Services'!O386)</f>
        <v/>
      </c>
      <c r="H372" s="2" t="str">
        <f>IF('H.W&amp;S.W&amp;Services'!B386=0,"",'H.W&amp;S.W&amp;Services'!B386) &amp; IF('H.W&amp;S.W&amp;Services'!F386=0,""," / "&amp;'H.W&amp;S.W&amp;Services'!F386) &amp; IF('H.W&amp;S.W&amp;Services'!G386=0,""," / "&amp;'H.W&amp;S.W&amp;Services'!G386)</f>
        <v/>
      </c>
      <c r="I372" t="str">
        <f>IF('H.W&amp;S.W&amp;Services'!D386=0,"",'H.W&amp;S.W&amp;Services'!D386)</f>
        <v/>
      </c>
      <c r="J372" s="2" t="str">
        <f>IF('H.W&amp;S.W&amp;Services'!E386=0,"",'H.W&amp;S.W&amp;Services'!E386)</f>
        <v/>
      </c>
    </row>
    <row r="373" spans="1:10" x14ac:dyDescent="0.2">
      <c r="A373" s="2" t="str">
        <f t="shared" ca="1" si="6"/>
        <v/>
      </c>
      <c r="B373" s="2" t="str">
        <f>IF('H.W&amp;S.W&amp;Services'!C387=0,"",'H.W&amp;S.W&amp;Services'!C387)</f>
        <v/>
      </c>
      <c r="C373" s="2" t="str">
        <f>IF('H.W&amp;S.W&amp;Services'!C387=0,"",'H.W&amp;S.W&amp;Services'!C387)</f>
        <v/>
      </c>
      <c r="D373" s="2" t="str">
        <f>IF('H.W&amp;S.W&amp;Services'!H387=0,"",'H.W&amp;S.W&amp;Services'!H387)</f>
        <v/>
      </c>
      <c r="E373" s="2" t="str">
        <f>IF('H.W&amp;S.W&amp;Services'!I387=0,"",'H.W&amp;S.W&amp;Services'!I387)</f>
        <v/>
      </c>
      <c r="F373" s="3" t="str">
        <f>IF('H.W&amp;S.W&amp;Services'!J387=0,"",'H.W&amp;S.W&amp;Services'!J387)</f>
        <v/>
      </c>
      <c r="G373" s="4" t="str">
        <f>IF('H.W&amp;S.W&amp;Services'!O387=0,"",'H.W&amp;S.W&amp;Services'!O387)</f>
        <v/>
      </c>
      <c r="H373" s="2" t="str">
        <f>IF('H.W&amp;S.W&amp;Services'!B387=0,"",'H.W&amp;S.W&amp;Services'!B387) &amp; IF('H.W&amp;S.W&amp;Services'!F387=0,""," / "&amp;'H.W&amp;S.W&amp;Services'!F387) &amp; IF('H.W&amp;S.W&amp;Services'!G387=0,""," / "&amp;'H.W&amp;S.W&amp;Services'!G387)</f>
        <v/>
      </c>
      <c r="I373" t="str">
        <f>IF('H.W&amp;S.W&amp;Services'!D387=0,"",'H.W&amp;S.W&amp;Services'!D387)</f>
        <v/>
      </c>
      <c r="J373" s="2" t="str">
        <f>IF('H.W&amp;S.W&amp;Services'!E387=0,"",'H.W&amp;S.W&amp;Services'!E387)</f>
        <v/>
      </c>
    </row>
    <row r="374" spans="1:10" x14ac:dyDescent="0.2">
      <c r="A374" s="2" t="str">
        <f t="shared" ca="1" si="6"/>
        <v/>
      </c>
      <c r="B374" s="2" t="str">
        <f>IF('H.W&amp;S.W&amp;Services'!C388=0,"",'H.W&amp;S.W&amp;Services'!C388)</f>
        <v/>
      </c>
      <c r="C374" s="2" t="str">
        <f>IF('H.W&amp;S.W&amp;Services'!C388=0,"",'H.W&amp;S.W&amp;Services'!C388)</f>
        <v/>
      </c>
      <c r="D374" s="2" t="str">
        <f>IF('H.W&amp;S.W&amp;Services'!H388=0,"",'H.W&amp;S.W&amp;Services'!H388)</f>
        <v/>
      </c>
      <c r="E374" s="2" t="str">
        <f>IF('H.W&amp;S.W&amp;Services'!I388=0,"",'H.W&amp;S.W&amp;Services'!I388)</f>
        <v/>
      </c>
      <c r="F374" s="3" t="str">
        <f>IF('H.W&amp;S.W&amp;Services'!J388=0,"",'H.W&amp;S.W&amp;Services'!J388)</f>
        <v/>
      </c>
      <c r="G374" s="4" t="str">
        <f>IF('H.W&amp;S.W&amp;Services'!O388=0,"",'H.W&amp;S.W&amp;Services'!O388)</f>
        <v/>
      </c>
      <c r="H374" s="2" t="str">
        <f>IF('H.W&amp;S.W&amp;Services'!B388=0,"",'H.W&amp;S.W&amp;Services'!B388) &amp; IF('H.W&amp;S.W&amp;Services'!F388=0,""," / "&amp;'H.W&amp;S.W&amp;Services'!F388) &amp; IF('H.W&amp;S.W&amp;Services'!G388=0,""," / "&amp;'H.W&amp;S.W&amp;Services'!G388)</f>
        <v/>
      </c>
      <c r="I374" t="str">
        <f>IF('H.W&amp;S.W&amp;Services'!D388=0,"",'H.W&amp;S.W&amp;Services'!D388)</f>
        <v/>
      </c>
      <c r="J374" s="2" t="str">
        <f>IF('H.W&amp;S.W&amp;Services'!E388=0,"",'H.W&amp;S.W&amp;Services'!E388)</f>
        <v/>
      </c>
    </row>
    <row r="375" spans="1:10" x14ac:dyDescent="0.2">
      <c r="A375" s="2" t="str">
        <f t="shared" ca="1" si="6"/>
        <v/>
      </c>
      <c r="B375" s="2" t="str">
        <f>IF('H.W&amp;S.W&amp;Services'!C389=0,"",'H.W&amp;S.W&amp;Services'!C389)</f>
        <v/>
      </c>
      <c r="C375" s="2" t="str">
        <f>IF('H.W&amp;S.W&amp;Services'!C389=0,"",'H.W&amp;S.W&amp;Services'!C389)</f>
        <v/>
      </c>
      <c r="D375" s="2" t="str">
        <f>IF('H.W&amp;S.W&amp;Services'!H389=0,"",'H.W&amp;S.W&amp;Services'!H389)</f>
        <v/>
      </c>
      <c r="E375" s="2" t="str">
        <f>IF('H.W&amp;S.W&amp;Services'!I389=0,"",'H.W&amp;S.W&amp;Services'!I389)</f>
        <v/>
      </c>
      <c r="F375" s="3" t="str">
        <f>IF('H.W&amp;S.W&amp;Services'!J389=0,"",'H.W&amp;S.W&amp;Services'!J389)</f>
        <v/>
      </c>
      <c r="G375" s="4" t="str">
        <f>IF('H.W&amp;S.W&amp;Services'!O389=0,"",'H.W&amp;S.W&amp;Services'!O389)</f>
        <v/>
      </c>
      <c r="H375" s="2" t="str">
        <f>IF('H.W&amp;S.W&amp;Services'!B389=0,"",'H.W&amp;S.W&amp;Services'!B389) &amp; IF('H.W&amp;S.W&amp;Services'!F389=0,""," / "&amp;'H.W&amp;S.W&amp;Services'!F389) &amp; IF('H.W&amp;S.W&amp;Services'!G389=0,""," / "&amp;'H.W&amp;S.W&amp;Services'!G389)</f>
        <v/>
      </c>
      <c r="I375" t="str">
        <f>IF('H.W&amp;S.W&amp;Services'!D389=0,"",'H.W&amp;S.W&amp;Services'!D389)</f>
        <v/>
      </c>
      <c r="J375" s="2" t="str">
        <f>IF('H.W&amp;S.W&amp;Services'!E389=0,"",'H.W&amp;S.W&amp;Services'!E389)</f>
        <v/>
      </c>
    </row>
    <row r="376" spans="1:10" x14ac:dyDescent="0.2">
      <c r="A376" s="2" t="str">
        <f t="shared" ca="1" si="6"/>
        <v/>
      </c>
      <c r="B376" s="2" t="str">
        <f>IF('H.W&amp;S.W&amp;Services'!C390=0,"",'H.W&amp;S.W&amp;Services'!C390)</f>
        <v/>
      </c>
      <c r="C376" s="2" t="str">
        <f>IF('H.W&amp;S.W&amp;Services'!C390=0,"",'H.W&amp;S.W&amp;Services'!C390)</f>
        <v/>
      </c>
      <c r="D376" s="2" t="str">
        <f>IF('H.W&amp;S.W&amp;Services'!H390=0,"",'H.W&amp;S.W&amp;Services'!H390)</f>
        <v/>
      </c>
      <c r="E376" s="2" t="str">
        <f>IF('H.W&amp;S.W&amp;Services'!I390=0,"",'H.W&amp;S.W&amp;Services'!I390)</f>
        <v/>
      </c>
      <c r="F376" s="3" t="str">
        <f>IF('H.W&amp;S.W&amp;Services'!J390=0,"",'H.W&amp;S.W&amp;Services'!J390)</f>
        <v/>
      </c>
      <c r="G376" s="4" t="str">
        <f>IF('H.W&amp;S.W&amp;Services'!O390=0,"",'H.W&amp;S.W&amp;Services'!O390)</f>
        <v/>
      </c>
      <c r="H376" s="2" t="str">
        <f>IF('H.W&amp;S.W&amp;Services'!B390=0,"",'H.W&amp;S.W&amp;Services'!B390) &amp; IF('H.W&amp;S.W&amp;Services'!F390=0,""," / "&amp;'H.W&amp;S.W&amp;Services'!F390) &amp; IF('H.W&amp;S.W&amp;Services'!G390=0,""," / "&amp;'H.W&amp;S.W&amp;Services'!G390)</f>
        <v/>
      </c>
      <c r="I376" t="str">
        <f>IF('H.W&amp;S.W&amp;Services'!D390=0,"",'H.W&amp;S.W&amp;Services'!D390)</f>
        <v/>
      </c>
      <c r="J376" s="2" t="str">
        <f>IF('H.W&amp;S.W&amp;Services'!E390=0,"",'H.W&amp;S.W&amp;Services'!E390)</f>
        <v/>
      </c>
    </row>
    <row r="377" spans="1:10" x14ac:dyDescent="0.2">
      <c r="A377" s="2" t="str">
        <f t="shared" ca="1" si="6"/>
        <v/>
      </c>
      <c r="B377" s="2" t="str">
        <f>IF('H.W&amp;S.W&amp;Services'!C391=0,"",'H.W&amp;S.W&amp;Services'!C391)</f>
        <v/>
      </c>
      <c r="C377" s="2" t="str">
        <f>IF('H.W&amp;S.W&amp;Services'!C391=0,"",'H.W&amp;S.W&amp;Services'!C391)</f>
        <v/>
      </c>
      <c r="D377" s="2" t="str">
        <f>IF('H.W&amp;S.W&amp;Services'!H391=0,"",'H.W&amp;S.W&amp;Services'!H391)</f>
        <v/>
      </c>
      <c r="E377" s="2" t="str">
        <f>IF('H.W&amp;S.W&amp;Services'!I391=0,"",'H.W&amp;S.W&amp;Services'!I391)</f>
        <v/>
      </c>
      <c r="F377" s="3" t="str">
        <f>IF('H.W&amp;S.W&amp;Services'!J391=0,"",'H.W&amp;S.W&amp;Services'!J391)</f>
        <v/>
      </c>
      <c r="G377" s="4" t="str">
        <f>IF('H.W&amp;S.W&amp;Services'!O391=0,"",'H.W&amp;S.W&amp;Services'!O391)</f>
        <v/>
      </c>
      <c r="H377" s="2" t="str">
        <f>IF('H.W&amp;S.W&amp;Services'!B391=0,"",'H.W&amp;S.W&amp;Services'!B391) &amp; IF('H.W&amp;S.W&amp;Services'!F391=0,""," / "&amp;'H.W&amp;S.W&amp;Services'!F391) &amp; IF('H.W&amp;S.W&amp;Services'!G391=0,""," / "&amp;'H.W&amp;S.W&amp;Services'!G391)</f>
        <v/>
      </c>
      <c r="I377" t="str">
        <f>IF('H.W&amp;S.W&amp;Services'!D391=0,"",'H.W&amp;S.W&amp;Services'!D391)</f>
        <v/>
      </c>
      <c r="J377" s="2" t="str">
        <f>IF('H.W&amp;S.W&amp;Services'!E391=0,"",'H.W&amp;S.W&amp;Services'!E391)</f>
        <v/>
      </c>
    </row>
    <row r="378" spans="1:10" x14ac:dyDescent="0.2">
      <c r="A378" s="2" t="str">
        <f t="shared" ca="1" si="6"/>
        <v/>
      </c>
      <c r="B378" s="2" t="str">
        <f>IF('H.W&amp;S.W&amp;Services'!C392=0,"",'H.W&amp;S.W&amp;Services'!C392)</f>
        <v/>
      </c>
      <c r="C378" s="2" t="str">
        <f>IF('H.W&amp;S.W&amp;Services'!C392=0,"",'H.W&amp;S.W&amp;Services'!C392)</f>
        <v/>
      </c>
      <c r="D378" s="2" t="str">
        <f>IF('H.W&amp;S.W&amp;Services'!H392=0,"",'H.W&amp;S.W&amp;Services'!H392)</f>
        <v/>
      </c>
      <c r="E378" s="2" t="str">
        <f>IF('H.W&amp;S.W&amp;Services'!I392=0,"",'H.W&amp;S.W&amp;Services'!I392)</f>
        <v/>
      </c>
      <c r="F378" s="3" t="str">
        <f>IF('H.W&amp;S.W&amp;Services'!J392=0,"",'H.W&amp;S.W&amp;Services'!J392)</f>
        <v/>
      </c>
      <c r="G378" s="4" t="str">
        <f>IF('H.W&amp;S.W&amp;Services'!O392=0,"",'H.W&amp;S.W&amp;Services'!O392)</f>
        <v/>
      </c>
      <c r="H378" s="2" t="str">
        <f>IF('H.W&amp;S.W&amp;Services'!B392=0,"",'H.W&amp;S.W&amp;Services'!B392) &amp; IF('H.W&amp;S.W&amp;Services'!F392=0,""," / "&amp;'H.W&amp;S.W&amp;Services'!F392) &amp; IF('H.W&amp;S.W&amp;Services'!G392=0,""," / "&amp;'H.W&amp;S.W&amp;Services'!G392)</f>
        <v/>
      </c>
      <c r="I378" t="str">
        <f>IF('H.W&amp;S.W&amp;Services'!D392=0,"",'H.W&amp;S.W&amp;Services'!D392)</f>
        <v/>
      </c>
      <c r="J378" s="2" t="str">
        <f>IF('H.W&amp;S.W&amp;Services'!E392=0,"",'H.W&amp;S.W&amp;Services'!E392)</f>
        <v/>
      </c>
    </row>
    <row r="379" spans="1:10" x14ac:dyDescent="0.2">
      <c r="A379" s="2" t="str">
        <f t="shared" ca="1" si="6"/>
        <v/>
      </c>
      <c r="B379" s="2" t="str">
        <f>IF('H.W&amp;S.W&amp;Services'!C393=0,"",'H.W&amp;S.W&amp;Services'!C393)</f>
        <v/>
      </c>
      <c r="C379" s="2" t="str">
        <f>IF('H.W&amp;S.W&amp;Services'!C393=0,"",'H.W&amp;S.W&amp;Services'!C393)</f>
        <v/>
      </c>
      <c r="D379" s="2" t="str">
        <f>IF('H.W&amp;S.W&amp;Services'!H393=0,"",'H.W&amp;S.W&amp;Services'!H393)</f>
        <v/>
      </c>
      <c r="E379" s="2" t="str">
        <f>IF('H.W&amp;S.W&amp;Services'!I393=0,"",'H.W&amp;S.W&amp;Services'!I393)</f>
        <v/>
      </c>
      <c r="F379" s="3" t="str">
        <f>IF('H.W&amp;S.W&amp;Services'!J393=0,"",'H.W&amp;S.W&amp;Services'!J393)</f>
        <v/>
      </c>
      <c r="G379" s="4" t="str">
        <f>IF('H.W&amp;S.W&amp;Services'!O393=0,"",'H.W&amp;S.W&amp;Services'!O393)</f>
        <v/>
      </c>
      <c r="H379" s="2" t="str">
        <f>IF('H.W&amp;S.W&amp;Services'!B393=0,"",'H.W&amp;S.W&amp;Services'!B393) &amp; IF('H.W&amp;S.W&amp;Services'!F393=0,""," / "&amp;'H.W&amp;S.W&amp;Services'!F393) &amp; IF('H.W&amp;S.W&amp;Services'!G393=0,""," / "&amp;'H.W&amp;S.W&amp;Services'!G393)</f>
        <v/>
      </c>
      <c r="I379" t="str">
        <f>IF('H.W&amp;S.W&amp;Services'!D393=0,"",'H.W&amp;S.W&amp;Services'!D393)</f>
        <v/>
      </c>
      <c r="J379" s="2" t="str">
        <f>IF('H.W&amp;S.W&amp;Services'!E393=0,"",'H.W&amp;S.W&amp;Services'!E393)</f>
        <v/>
      </c>
    </row>
    <row r="380" spans="1:10" x14ac:dyDescent="0.2">
      <c r="A380" s="2" t="str">
        <f t="shared" ca="1" si="6"/>
        <v/>
      </c>
      <c r="B380" s="2" t="str">
        <f>IF('H.W&amp;S.W&amp;Services'!C394=0,"",'H.W&amp;S.W&amp;Services'!C394)</f>
        <v/>
      </c>
      <c r="C380" s="2" t="str">
        <f>IF('H.W&amp;S.W&amp;Services'!C394=0,"",'H.W&amp;S.W&amp;Services'!C394)</f>
        <v/>
      </c>
      <c r="D380" s="2" t="str">
        <f>IF('H.W&amp;S.W&amp;Services'!H394=0,"",'H.W&amp;S.W&amp;Services'!H394)</f>
        <v/>
      </c>
      <c r="E380" s="2" t="str">
        <f>IF('H.W&amp;S.W&amp;Services'!I394=0,"",'H.W&amp;S.W&amp;Services'!I394)</f>
        <v/>
      </c>
      <c r="F380" s="3" t="str">
        <f>IF('H.W&amp;S.W&amp;Services'!J394=0,"",'H.W&amp;S.W&amp;Services'!J394)</f>
        <v/>
      </c>
      <c r="G380" s="4" t="str">
        <f>IF('H.W&amp;S.W&amp;Services'!O394=0,"",'H.W&amp;S.W&amp;Services'!O394)</f>
        <v/>
      </c>
      <c r="H380" s="2" t="str">
        <f>IF('H.W&amp;S.W&amp;Services'!B394=0,"",'H.W&amp;S.W&amp;Services'!B394) &amp; IF('H.W&amp;S.W&amp;Services'!F394=0,""," / "&amp;'H.W&amp;S.W&amp;Services'!F394) &amp; IF('H.W&amp;S.W&amp;Services'!G394=0,""," / "&amp;'H.W&amp;S.W&amp;Services'!G394)</f>
        <v/>
      </c>
      <c r="I380" t="str">
        <f>IF('H.W&amp;S.W&amp;Services'!D394=0,"",'H.W&amp;S.W&amp;Services'!D394)</f>
        <v/>
      </c>
      <c r="J380" s="2" t="str">
        <f>IF('H.W&amp;S.W&amp;Services'!E394=0,"",'H.W&amp;S.W&amp;Services'!E394)</f>
        <v/>
      </c>
    </row>
    <row r="381" spans="1:10" x14ac:dyDescent="0.2">
      <c r="A381" s="2" t="str">
        <f t="shared" ca="1" si="6"/>
        <v/>
      </c>
      <c r="B381" s="2" t="str">
        <f>IF('H.W&amp;S.W&amp;Services'!C395=0,"",'H.W&amp;S.W&amp;Services'!C395)</f>
        <v/>
      </c>
      <c r="C381" s="2" t="str">
        <f>IF('H.W&amp;S.W&amp;Services'!C395=0,"",'H.W&amp;S.W&amp;Services'!C395)</f>
        <v/>
      </c>
      <c r="D381" s="2" t="str">
        <f>IF('H.W&amp;S.W&amp;Services'!H395=0,"",'H.W&amp;S.W&amp;Services'!H395)</f>
        <v/>
      </c>
      <c r="E381" s="2" t="str">
        <f>IF('H.W&amp;S.W&amp;Services'!I395=0,"",'H.W&amp;S.W&amp;Services'!I395)</f>
        <v/>
      </c>
      <c r="F381" s="3" t="str">
        <f>IF('H.W&amp;S.W&amp;Services'!J395=0,"",'H.W&amp;S.W&amp;Services'!J395)</f>
        <v/>
      </c>
      <c r="G381" s="4" t="str">
        <f>IF('H.W&amp;S.W&amp;Services'!O395=0,"",'H.W&amp;S.W&amp;Services'!O395)</f>
        <v/>
      </c>
      <c r="H381" s="2" t="str">
        <f>IF('H.W&amp;S.W&amp;Services'!B395=0,"",'H.W&amp;S.W&amp;Services'!B395) &amp; IF('H.W&amp;S.W&amp;Services'!F395=0,""," / "&amp;'H.W&amp;S.W&amp;Services'!F395) &amp; IF('H.W&amp;S.W&amp;Services'!G395=0,""," / "&amp;'H.W&amp;S.W&amp;Services'!G395)</f>
        <v/>
      </c>
      <c r="I381" t="str">
        <f>IF('H.W&amp;S.W&amp;Services'!D395=0,"",'H.W&amp;S.W&amp;Services'!D395)</f>
        <v/>
      </c>
      <c r="J381" s="2" t="str">
        <f>IF('H.W&amp;S.W&amp;Services'!E395=0,"",'H.W&amp;S.W&amp;Services'!E395)</f>
        <v/>
      </c>
    </row>
    <row r="382" spans="1:10" x14ac:dyDescent="0.2">
      <c r="A382" s="2" t="str">
        <f t="shared" ca="1" si="6"/>
        <v/>
      </c>
      <c r="B382" s="2" t="str">
        <f>IF('H.W&amp;S.W&amp;Services'!C396=0,"",'H.W&amp;S.W&amp;Services'!C396)</f>
        <v/>
      </c>
      <c r="C382" s="2" t="str">
        <f>IF('H.W&amp;S.W&amp;Services'!C396=0,"",'H.W&amp;S.W&amp;Services'!C396)</f>
        <v/>
      </c>
      <c r="D382" s="2" t="str">
        <f>IF('H.W&amp;S.W&amp;Services'!H396=0,"",'H.W&amp;S.W&amp;Services'!H396)</f>
        <v/>
      </c>
      <c r="E382" s="2" t="str">
        <f>IF('H.W&amp;S.W&amp;Services'!I396=0,"",'H.W&amp;S.W&amp;Services'!I396)</f>
        <v/>
      </c>
      <c r="F382" s="3" t="str">
        <f>IF('H.W&amp;S.W&amp;Services'!J396=0,"",'H.W&amp;S.W&amp;Services'!J396)</f>
        <v/>
      </c>
      <c r="G382" s="4" t="str">
        <f>IF('H.W&amp;S.W&amp;Services'!O396=0,"",'H.W&amp;S.W&amp;Services'!O396)</f>
        <v/>
      </c>
      <c r="H382" s="2" t="str">
        <f>IF('H.W&amp;S.W&amp;Services'!B396=0,"",'H.W&amp;S.W&amp;Services'!B396) &amp; IF('H.W&amp;S.W&amp;Services'!F396=0,""," / "&amp;'H.W&amp;S.W&amp;Services'!F396) &amp; IF('H.W&amp;S.W&amp;Services'!G396=0,""," / "&amp;'H.W&amp;S.W&amp;Services'!G396)</f>
        <v/>
      </c>
      <c r="I382" t="str">
        <f>IF('H.W&amp;S.W&amp;Services'!D396=0,"",'H.W&amp;S.W&amp;Services'!D396)</f>
        <v/>
      </c>
      <c r="J382" s="2" t="str">
        <f>IF('H.W&amp;S.W&amp;Services'!E396=0,"",'H.W&amp;S.W&amp;Services'!E396)</f>
        <v/>
      </c>
    </row>
    <row r="383" spans="1:10" x14ac:dyDescent="0.2">
      <c r="A383" s="2" t="str">
        <f t="shared" ca="1" si="6"/>
        <v/>
      </c>
      <c r="B383" s="2" t="str">
        <f>IF('H.W&amp;S.W&amp;Services'!C397=0,"",'H.W&amp;S.W&amp;Services'!C397)</f>
        <v/>
      </c>
      <c r="C383" s="2" t="str">
        <f>IF('H.W&amp;S.W&amp;Services'!C397=0,"",'H.W&amp;S.W&amp;Services'!C397)</f>
        <v/>
      </c>
      <c r="D383" s="2" t="str">
        <f>IF('H.W&amp;S.W&amp;Services'!H397=0,"",'H.W&amp;S.W&amp;Services'!H397)</f>
        <v/>
      </c>
      <c r="E383" s="2" t="str">
        <f>IF('H.W&amp;S.W&amp;Services'!I397=0,"",'H.W&amp;S.W&amp;Services'!I397)</f>
        <v/>
      </c>
      <c r="F383" s="3" t="str">
        <f>IF('H.W&amp;S.W&amp;Services'!J397=0,"",'H.W&amp;S.W&amp;Services'!J397)</f>
        <v/>
      </c>
      <c r="G383" s="4" t="str">
        <f>IF('H.W&amp;S.W&amp;Services'!O397=0,"",'H.W&amp;S.W&amp;Services'!O397)</f>
        <v/>
      </c>
      <c r="H383" s="2" t="str">
        <f>IF('H.W&amp;S.W&amp;Services'!B397=0,"",'H.W&amp;S.W&amp;Services'!B397) &amp; IF('H.W&amp;S.W&amp;Services'!F397=0,""," / "&amp;'H.W&amp;S.W&amp;Services'!F397) &amp; IF('H.W&amp;S.W&amp;Services'!G397=0,""," / "&amp;'H.W&amp;S.W&amp;Services'!G397)</f>
        <v/>
      </c>
      <c r="I383" t="str">
        <f>IF('H.W&amp;S.W&amp;Services'!D397=0,"",'H.W&amp;S.W&amp;Services'!D397)</f>
        <v/>
      </c>
      <c r="J383" s="2" t="str">
        <f>IF('H.W&amp;S.W&amp;Services'!E397=0,"",'H.W&amp;S.W&amp;Services'!E397)</f>
        <v/>
      </c>
    </row>
    <row r="384" spans="1:10" x14ac:dyDescent="0.2">
      <c r="A384" s="2" t="str">
        <f t="shared" ca="1" si="6"/>
        <v/>
      </c>
      <c r="B384" s="2" t="str">
        <f>IF('H.W&amp;S.W&amp;Services'!C398=0,"",'H.W&amp;S.W&amp;Services'!C398)</f>
        <v/>
      </c>
      <c r="C384" s="2" t="str">
        <f>IF('H.W&amp;S.W&amp;Services'!C398=0,"",'H.W&amp;S.W&amp;Services'!C398)</f>
        <v/>
      </c>
      <c r="D384" s="2" t="str">
        <f>IF('H.W&amp;S.W&amp;Services'!H398=0,"",'H.W&amp;S.W&amp;Services'!H398)</f>
        <v/>
      </c>
      <c r="E384" s="2" t="str">
        <f>IF('H.W&amp;S.W&amp;Services'!I398=0,"",'H.W&amp;S.W&amp;Services'!I398)</f>
        <v/>
      </c>
      <c r="F384" s="3" t="str">
        <f>IF('H.W&amp;S.W&amp;Services'!J398=0,"",'H.W&amp;S.W&amp;Services'!J398)</f>
        <v/>
      </c>
      <c r="G384" s="4" t="str">
        <f>IF('H.W&amp;S.W&amp;Services'!O398=0,"",'H.W&amp;S.W&amp;Services'!O398)</f>
        <v/>
      </c>
      <c r="H384" s="2" t="str">
        <f>IF('H.W&amp;S.W&amp;Services'!B398=0,"",'H.W&amp;S.W&amp;Services'!B398) &amp; IF('H.W&amp;S.W&amp;Services'!F398=0,""," / "&amp;'H.W&amp;S.W&amp;Services'!F398) &amp; IF('H.W&amp;S.W&amp;Services'!G398=0,""," / "&amp;'H.W&amp;S.W&amp;Services'!G398)</f>
        <v/>
      </c>
      <c r="I384" t="str">
        <f>IF('H.W&amp;S.W&amp;Services'!D398=0,"",'H.W&amp;S.W&amp;Services'!D398)</f>
        <v/>
      </c>
      <c r="J384" s="2" t="str">
        <f>IF('H.W&amp;S.W&amp;Services'!E398=0,"",'H.W&amp;S.W&amp;Services'!E398)</f>
        <v/>
      </c>
    </row>
    <row r="385" spans="1:10" x14ac:dyDescent="0.2">
      <c r="A385" s="2" t="str">
        <f t="shared" ca="1" si="6"/>
        <v/>
      </c>
      <c r="B385" s="2" t="str">
        <f>IF('H.W&amp;S.W&amp;Services'!C399=0,"",'H.W&amp;S.W&amp;Services'!C399)</f>
        <v/>
      </c>
      <c r="C385" s="2" t="str">
        <f>IF('H.W&amp;S.W&amp;Services'!C399=0,"",'H.W&amp;S.W&amp;Services'!C399)</f>
        <v/>
      </c>
      <c r="D385" s="2" t="str">
        <f>IF('H.W&amp;S.W&amp;Services'!H399=0,"",'H.W&amp;S.W&amp;Services'!H399)</f>
        <v/>
      </c>
      <c r="E385" s="2" t="str">
        <f>IF('H.W&amp;S.W&amp;Services'!I399=0,"",'H.W&amp;S.W&amp;Services'!I399)</f>
        <v/>
      </c>
      <c r="F385" s="3" t="str">
        <f>IF('H.W&amp;S.W&amp;Services'!J399=0,"",'H.W&amp;S.W&amp;Services'!J399)</f>
        <v/>
      </c>
      <c r="G385" s="4" t="str">
        <f>IF('H.W&amp;S.W&amp;Services'!O399=0,"",'H.W&amp;S.W&amp;Services'!O399)</f>
        <v/>
      </c>
      <c r="H385" s="2" t="str">
        <f>IF('H.W&amp;S.W&amp;Services'!B399=0,"",'H.W&amp;S.W&amp;Services'!B399) &amp; IF('H.W&amp;S.W&amp;Services'!F399=0,""," / "&amp;'H.W&amp;S.W&amp;Services'!F399) &amp; IF('H.W&amp;S.W&amp;Services'!G399=0,""," / "&amp;'H.W&amp;S.W&amp;Services'!G399)</f>
        <v/>
      </c>
      <c r="I385" t="str">
        <f>IF('H.W&amp;S.W&amp;Services'!D399=0,"",'H.W&amp;S.W&amp;Services'!D399)</f>
        <v/>
      </c>
      <c r="J385" s="2" t="str">
        <f>IF('H.W&amp;S.W&amp;Services'!E399=0,"",'H.W&amp;S.W&amp;Services'!E399)</f>
        <v/>
      </c>
    </row>
    <row r="386" spans="1:10" x14ac:dyDescent="0.2">
      <c r="A386" s="2" t="str">
        <f t="shared" ca="1" si="6"/>
        <v/>
      </c>
      <c r="B386" s="2" t="str">
        <f>IF('H.W&amp;S.W&amp;Services'!C400=0,"",'H.W&amp;S.W&amp;Services'!C400)</f>
        <v/>
      </c>
      <c r="C386" s="2" t="str">
        <f>IF('H.W&amp;S.W&amp;Services'!C400=0,"",'H.W&amp;S.W&amp;Services'!C400)</f>
        <v/>
      </c>
      <c r="D386" s="2" t="str">
        <f>IF('H.W&amp;S.W&amp;Services'!H400=0,"",'H.W&amp;S.W&amp;Services'!H400)</f>
        <v/>
      </c>
      <c r="E386" s="2" t="str">
        <f>IF('H.W&amp;S.W&amp;Services'!I400=0,"",'H.W&amp;S.W&amp;Services'!I400)</f>
        <v/>
      </c>
      <c r="F386" s="3" t="str">
        <f>IF('H.W&amp;S.W&amp;Services'!J400=0,"",'H.W&amp;S.W&amp;Services'!J400)</f>
        <v/>
      </c>
      <c r="G386" s="4" t="str">
        <f>IF('H.W&amp;S.W&amp;Services'!O400=0,"",'H.W&amp;S.W&amp;Services'!O400)</f>
        <v/>
      </c>
      <c r="H386" s="2" t="str">
        <f>IF('H.W&amp;S.W&amp;Services'!B400=0,"",'H.W&amp;S.W&amp;Services'!B400) &amp; IF('H.W&amp;S.W&amp;Services'!F400=0,""," / "&amp;'H.W&amp;S.W&amp;Services'!F400) &amp; IF('H.W&amp;S.W&amp;Services'!G400=0,""," / "&amp;'H.W&amp;S.W&amp;Services'!G400)</f>
        <v/>
      </c>
      <c r="I386" t="str">
        <f>IF('H.W&amp;S.W&amp;Services'!D400=0,"",'H.W&amp;S.W&amp;Services'!D400)</f>
        <v/>
      </c>
      <c r="J386" s="2" t="str">
        <f>IF('H.W&amp;S.W&amp;Services'!E400=0,"",'H.W&amp;S.W&amp;Services'!E400)</f>
        <v/>
      </c>
    </row>
    <row r="387" spans="1:10" x14ac:dyDescent="0.2">
      <c r="A387" s="2" t="str">
        <f t="shared" ca="1" si="6"/>
        <v/>
      </c>
      <c r="B387" s="2" t="str">
        <f>IF('H.W&amp;S.W&amp;Services'!C401=0,"",'H.W&amp;S.W&amp;Services'!C401)</f>
        <v/>
      </c>
      <c r="C387" s="2" t="str">
        <f>IF('H.W&amp;S.W&amp;Services'!C401=0,"",'H.W&amp;S.W&amp;Services'!C401)</f>
        <v/>
      </c>
      <c r="D387" s="2" t="str">
        <f>IF('H.W&amp;S.W&amp;Services'!H401=0,"",'H.W&amp;S.W&amp;Services'!H401)</f>
        <v/>
      </c>
      <c r="E387" s="2" t="str">
        <f>IF('H.W&amp;S.W&amp;Services'!I401=0,"",'H.W&amp;S.W&amp;Services'!I401)</f>
        <v/>
      </c>
      <c r="F387" s="3" t="str">
        <f>IF('H.W&amp;S.W&amp;Services'!J401=0,"",'H.W&amp;S.W&amp;Services'!J401)</f>
        <v/>
      </c>
      <c r="G387" s="4" t="str">
        <f>IF('H.W&amp;S.W&amp;Services'!O401=0,"",'H.W&amp;S.W&amp;Services'!O401)</f>
        <v/>
      </c>
      <c r="H387" s="2" t="str">
        <f>IF('H.W&amp;S.W&amp;Services'!B401=0,"",'H.W&amp;S.W&amp;Services'!B401) &amp; IF('H.W&amp;S.W&amp;Services'!F401=0,""," / "&amp;'H.W&amp;S.W&amp;Services'!F401) &amp; IF('H.W&amp;S.W&amp;Services'!G401=0,""," / "&amp;'H.W&amp;S.W&amp;Services'!G401)</f>
        <v/>
      </c>
      <c r="I387" t="str">
        <f>IF('H.W&amp;S.W&amp;Services'!D401=0,"",'H.W&amp;S.W&amp;Services'!D401)</f>
        <v/>
      </c>
      <c r="J387" s="2" t="str">
        <f>IF('H.W&amp;S.W&amp;Services'!E401=0,"",'H.W&amp;S.W&amp;Services'!E401)</f>
        <v/>
      </c>
    </row>
    <row r="388" spans="1:10" x14ac:dyDescent="0.2">
      <c r="A388" s="2" t="str">
        <f t="shared" ca="1" si="6"/>
        <v/>
      </c>
      <c r="B388" s="2" t="str">
        <f>IF('H.W&amp;S.W&amp;Services'!C402=0,"",'H.W&amp;S.W&amp;Services'!C402)</f>
        <v/>
      </c>
      <c r="C388" s="2" t="str">
        <f>IF('H.W&amp;S.W&amp;Services'!C402=0,"",'H.W&amp;S.W&amp;Services'!C402)</f>
        <v/>
      </c>
      <c r="D388" s="2" t="str">
        <f>IF('H.W&amp;S.W&amp;Services'!H402=0,"",'H.W&amp;S.W&amp;Services'!H402)</f>
        <v/>
      </c>
      <c r="E388" s="2" t="str">
        <f>IF('H.W&amp;S.W&amp;Services'!I402=0,"",'H.W&amp;S.W&amp;Services'!I402)</f>
        <v/>
      </c>
      <c r="F388" s="3" t="str">
        <f>IF('H.W&amp;S.W&amp;Services'!J402=0,"",'H.W&amp;S.W&amp;Services'!J402)</f>
        <v/>
      </c>
      <c r="G388" s="4" t="str">
        <f>IF('H.W&amp;S.W&amp;Services'!O402=0,"",'H.W&amp;S.W&amp;Services'!O402)</f>
        <v/>
      </c>
      <c r="H388" s="2" t="str">
        <f>IF('H.W&amp;S.W&amp;Services'!B402=0,"",'H.W&amp;S.W&amp;Services'!B402) &amp; IF('H.W&amp;S.W&amp;Services'!F402=0,""," / "&amp;'H.W&amp;S.W&amp;Services'!F402) &amp; IF('H.W&amp;S.W&amp;Services'!G402=0,""," / "&amp;'H.W&amp;S.W&amp;Services'!G402)</f>
        <v/>
      </c>
      <c r="I388" t="str">
        <f>IF('H.W&amp;S.W&amp;Services'!D402=0,"",'H.W&amp;S.W&amp;Services'!D402)</f>
        <v/>
      </c>
      <c r="J388" s="2" t="str">
        <f>IF('H.W&amp;S.W&amp;Services'!E402=0,"",'H.W&amp;S.W&amp;Services'!E402)</f>
        <v/>
      </c>
    </row>
    <row r="389" spans="1:10" x14ac:dyDescent="0.2">
      <c r="A389" s="2" t="str">
        <f t="shared" ca="1" si="6"/>
        <v/>
      </c>
      <c r="B389" s="2" t="str">
        <f>IF('H.W&amp;S.W&amp;Services'!C403=0,"",'H.W&amp;S.W&amp;Services'!C403)</f>
        <v/>
      </c>
      <c r="C389" s="2" t="str">
        <f>IF('H.W&amp;S.W&amp;Services'!C403=0,"",'H.W&amp;S.W&amp;Services'!C403)</f>
        <v/>
      </c>
      <c r="D389" s="2" t="str">
        <f>IF('H.W&amp;S.W&amp;Services'!H403=0,"",'H.W&amp;S.W&amp;Services'!H403)</f>
        <v/>
      </c>
      <c r="E389" s="2" t="str">
        <f>IF('H.W&amp;S.W&amp;Services'!I403=0,"",'H.W&amp;S.W&amp;Services'!I403)</f>
        <v/>
      </c>
      <c r="F389" s="3" t="str">
        <f>IF('H.W&amp;S.W&amp;Services'!J403=0,"",'H.W&amp;S.W&amp;Services'!J403)</f>
        <v/>
      </c>
      <c r="G389" s="4" t="str">
        <f>IF('H.W&amp;S.W&amp;Services'!O403=0,"",'H.W&amp;S.W&amp;Services'!O403)</f>
        <v/>
      </c>
      <c r="H389" s="2" t="str">
        <f>IF('H.W&amp;S.W&amp;Services'!B403=0,"",'H.W&amp;S.W&amp;Services'!B403) &amp; IF('H.W&amp;S.W&amp;Services'!F403=0,""," / "&amp;'H.W&amp;S.W&amp;Services'!F403) &amp; IF('H.W&amp;S.W&amp;Services'!G403=0,""," / "&amp;'H.W&amp;S.W&amp;Services'!G403)</f>
        <v/>
      </c>
      <c r="I389" t="str">
        <f>IF('H.W&amp;S.W&amp;Services'!D403=0,"",'H.W&amp;S.W&amp;Services'!D403)</f>
        <v/>
      </c>
      <c r="J389" s="2" t="str">
        <f>IF('H.W&amp;S.W&amp;Services'!E403=0,"",'H.W&amp;S.W&amp;Services'!E403)</f>
        <v/>
      </c>
    </row>
    <row r="390" spans="1:10" x14ac:dyDescent="0.2">
      <c r="A390" s="2" t="str">
        <f t="shared" ca="1" si="6"/>
        <v/>
      </c>
      <c r="B390" s="2" t="str">
        <f>IF('H.W&amp;S.W&amp;Services'!C404=0,"",'H.W&amp;S.W&amp;Services'!C404)</f>
        <v/>
      </c>
      <c r="C390" s="2" t="str">
        <f>IF('H.W&amp;S.W&amp;Services'!C404=0,"",'H.W&amp;S.W&amp;Services'!C404)</f>
        <v/>
      </c>
      <c r="D390" s="2" t="str">
        <f>IF('H.W&amp;S.W&amp;Services'!H404=0,"",'H.W&amp;S.W&amp;Services'!H404)</f>
        <v/>
      </c>
      <c r="E390" s="2" t="str">
        <f>IF('H.W&amp;S.W&amp;Services'!I404=0,"",'H.W&amp;S.W&amp;Services'!I404)</f>
        <v/>
      </c>
      <c r="F390" s="3" t="str">
        <f>IF('H.W&amp;S.W&amp;Services'!J404=0,"",'H.W&amp;S.W&amp;Services'!J404)</f>
        <v/>
      </c>
      <c r="G390" s="4" t="str">
        <f>IF('H.W&amp;S.W&amp;Services'!O404=0,"",'H.W&amp;S.W&amp;Services'!O404)</f>
        <v/>
      </c>
      <c r="H390" s="2" t="str">
        <f>IF('H.W&amp;S.W&amp;Services'!B404=0,"",'H.W&amp;S.W&amp;Services'!B404) &amp; IF('H.W&amp;S.W&amp;Services'!F404=0,""," / "&amp;'H.W&amp;S.W&amp;Services'!F404) &amp; IF('H.W&amp;S.W&amp;Services'!G404=0,""," / "&amp;'H.W&amp;S.W&amp;Services'!G404)</f>
        <v/>
      </c>
      <c r="I390" t="str">
        <f>IF('H.W&amp;S.W&amp;Services'!D404=0,"",'H.W&amp;S.W&amp;Services'!D404)</f>
        <v/>
      </c>
      <c r="J390" s="2" t="str">
        <f>IF('H.W&amp;S.W&amp;Services'!E404=0,"",'H.W&amp;S.W&amp;Services'!E404)</f>
        <v/>
      </c>
    </row>
    <row r="391" spans="1:10" x14ac:dyDescent="0.2">
      <c r="A391" s="2" t="str">
        <f t="shared" ca="1" si="6"/>
        <v/>
      </c>
      <c r="B391" s="2" t="str">
        <f>IF('H.W&amp;S.W&amp;Services'!C405=0,"",'H.W&amp;S.W&amp;Services'!C405)</f>
        <v/>
      </c>
      <c r="C391" s="2" t="str">
        <f>IF('H.W&amp;S.W&amp;Services'!C405=0,"",'H.W&amp;S.W&amp;Services'!C405)</f>
        <v/>
      </c>
      <c r="D391" s="2" t="str">
        <f>IF('H.W&amp;S.W&amp;Services'!H405=0,"",'H.W&amp;S.W&amp;Services'!H405)</f>
        <v/>
      </c>
      <c r="E391" s="2" t="str">
        <f>IF('H.W&amp;S.W&amp;Services'!I405=0,"",'H.W&amp;S.W&amp;Services'!I405)</f>
        <v/>
      </c>
      <c r="F391" s="3" t="str">
        <f>IF('H.W&amp;S.W&amp;Services'!J405=0,"",'H.W&amp;S.W&amp;Services'!J405)</f>
        <v/>
      </c>
      <c r="G391" s="4" t="str">
        <f>IF('H.W&amp;S.W&amp;Services'!O405=0,"",'H.W&amp;S.W&amp;Services'!O405)</f>
        <v/>
      </c>
      <c r="H391" s="2" t="str">
        <f>IF('H.W&amp;S.W&amp;Services'!B405=0,"",'H.W&amp;S.W&amp;Services'!B405) &amp; IF('H.W&amp;S.W&amp;Services'!F405=0,""," / "&amp;'H.W&amp;S.W&amp;Services'!F405) &amp; IF('H.W&amp;S.W&amp;Services'!G405=0,""," / "&amp;'H.W&amp;S.W&amp;Services'!G405)</f>
        <v/>
      </c>
      <c r="I391" t="str">
        <f>IF('H.W&amp;S.W&amp;Services'!D405=0,"",'H.W&amp;S.W&amp;Services'!D405)</f>
        <v/>
      </c>
      <c r="J391" s="2" t="str">
        <f>IF('H.W&amp;S.W&amp;Services'!E405=0,"",'H.W&amp;S.W&amp;Services'!E405)</f>
        <v/>
      </c>
    </row>
    <row r="392" spans="1:10" x14ac:dyDescent="0.2">
      <c r="A392" s="2" t="str">
        <f t="shared" ca="1" si="6"/>
        <v/>
      </c>
      <c r="B392" s="2" t="str">
        <f>IF('H.W&amp;S.W&amp;Services'!C406=0,"",'H.W&amp;S.W&amp;Services'!C406)</f>
        <v/>
      </c>
      <c r="C392" s="2" t="str">
        <f>IF('H.W&amp;S.W&amp;Services'!C406=0,"",'H.W&amp;S.W&amp;Services'!C406)</f>
        <v/>
      </c>
      <c r="D392" s="2" t="str">
        <f>IF('H.W&amp;S.W&amp;Services'!H406=0,"",'H.W&amp;S.W&amp;Services'!H406)</f>
        <v/>
      </c>
      <c r="E392" s="2" t="str">
        <f>IF('H.W&amp;S.W&amp;Services'!I406=0,"",'H.W&amp;S.W&amp;Services'!I406)</f>
        <v/>
      </c>
      <c r="F392" s="3" t="str">
        <f>IF('H.W&amp;S.W&amp;Services'!J406=0,"",'H.W&amp;S.W&amp;Services'!J406)</f>
        <v/>
      </c>
      <c r="G392" s="4" t="str">
        <f>IF('H.W&amp;S.W&amp;Services'!O406=0,"",'H.W&amp;S.W&amp;Services'!O406)</f>
        <v/>
      </c>
      <c r="H392" s="2" t="str">
        <f>IF('H.W&amp;S.W&amp;Services'!B406=0,"",'H.W&amp;S.W&amp;Services'!B406) &amp; IF('H.W&amp;S.W&amp;Services'!F406=0,""," / "&amp;'H.W&amp;S.W&amp;Services'!F406) &amp; IF('H.W&amp;S.W&amp;Services'!G406=0,""," / "&amp;'H.W&amp;S.W&amp;Services'!G406)</f>
        <v/>
      </c>
      <c r="I392" t="str">
        <f>IF('H.W&amp;S.W&amp;Services'!D406=0,"",'H.W&amp;S.W&amp;Services'!D406)</f>
        <v/>
      </c>
      <c r="J392" s="2" t="str">
        <f>IF('H.W&amp;S.W&amp;Services'!E406=0,"",'H.W&amp;S.W&amp;Services'!E406)</f>
        <v/>
      </c>
    </row>
    <row r="393" spans="1:10" x14ac:dyDescent="0.2">
      <c r="A393" s="2" t="str">
        <f t="shared" ref="A393:A400" ca="1" si="7">IF(C393="","",RANDBETWEEN(1,10000000000)&amp;B393&amp;LEFT(D393,10))</f>
        <v/>
      </c>
      <c r="B393" s="2" t="str">
        <f>IF('H.W&amp;S.W&amp;Services'!C407=0,"",'H.W&amp;S.W&amp;Services'!C407)</f>
        <v/>
      </c>
      <c r="C393" s="2" t="str">
        <f>IF('H.W&amp;S.W&amp;Services'!C407=0,"",'H.W&amp;S.W&amp;Services'!C407)</f>
        <v/>
      </c>
      <c r="D393" s="2" t="str">
        <f>IF('H.W&amp;S.W&amp;Services'!H407=0,"",'H.W&amp;S.W&amp;Services'!H407)</f>
        <v/>
      </c>
      <c r="E393" s="2" t="str">
        <f>IF('H.W&amp;S.W&amp;Services'!I407=0,"",'H.W&amp;S.W&amp;Services'!I407)</f>
        <v/>
      </c>
      <c r="F393" s="3" t="str">
        <f>IF('H.W&amp;S.W&amp;Services'!J407=0,"",'H.W&amp;S.W&amp;Services'!J407)</f>
        <v/>
      </c>
      <c r="G393" s="4" t="str">
        <f>IF('H.W&amp;S.W&amp;Services'!O407=0,"",'H.W&amp;S.W&amp;Services'!O407)</f>
        <v/>
      </c>
      <c r="H393" s="2" t="str">
        <f>IF('H.W&amp;S.W&amp;Services'!B407=0,"",'H.W&amp;S.W&amp;Services'!B407) &amp; IF('H.W&amp;S.W&amp;Services'!F407=0,""," / "&amp;'H.W&amp;S.W&amp;Services'!F407) &amp; IF('H.W&amp;S.W&amp;Services'!G407=0,""," / "&amp;'H.W&amp;S.W&amp;Services'!G407)</f>
        <v/>
      </c>
      <c r="I393" t="str">
        <f>IF('H.W&amp;S.W&amp;Services'!D407=0,"",'H.W&amp;S.W&amp;Services'!D407)</f>
        <v/>
      </c>
      <c r="J393" s="2" t="str">
        <f>IF('H.W&amp;S.W&amp;Services'!E407=0,"",'H.W&amp;S.W&amp;Services'!E407)</f>
        <v/>
      </c>
    </row>
    <row r="394" spans="1:10" x14ac:dyDescent="0.2">
      <c r="A394" s="2" t="str">
        <f t="shared" ca="1" si="7"/>
        <v/>
      </c>
      <c r="B394" s="2" t="str">
        <f>IF('H.W&amp;S.W&amp;Services'!C408=0,"",'H.W&amp;S.W&amp;Services'!C408)</f>
        <v/>
      </c>
      <c r="C394" s="2" t="str">
        <f>IF('H.W&amp;S.W&amp;Services'!C408=0,"",'H.W&amp;S.W&amp;Services'!C408)</f>
        <v/>
      </c>
      <c r="D394" s="2" t="str">
        <f>IF('H.W&amp;S.W&amp;Services'!H408=0,"",'H.W&amp;S.W&amp;Services'!H408)</f>
        <v/>
      </c>
      <c r="E394" s="2" t="str">
        <f>IF('H.W&amp;S.W&amp;Services'!I408=0,"",'H.W&amp;S.W&amp;Services'!I408)</f>
        <v/>
      </c>
      <c r="F394" s="3" t="str">
        <f>IF('H.W&amp;S.W&amp;Services'!J408=0,"",'H.W&amp;S.W&amp;Services'!J408)</f>
        <v/>
      </c>
      <c r="G394" s="4" t="str">
        <f>IF('H.W&amp;S.W&amp;Services'!O408=0,"",'H.W&amp;S.W&amp;Services'!O408)</f>
        <v/>
      </c>
      <c r="H394" s="2" t="str">
        <f>IF('H.W&amp;S.W&amp;Services'!B408=0,"",'H.W&amp;S.W&amp;Services'!B408) &amp; IF('H.W&amp;S.W&amp;Services'!F408=0,""," / "&amp;'H.W&amp;S.W&amp;Services'!F408) &amp; IF('H.W&amp;S.W&amp;Services'!G408=0,""," / "&amp;'H.W&amp;S.W&amp;Services'!G408)</f>
        <v/>
      </c>
      <c r="I394" t="str">
        <f>IF('H.W&amp;S.W&amp;Services'!D408=0,"",'H.W&amp;S.W&amp;Services'!D408)</f>
        <v/>
      </c>
      <c r="J394" s="2" t="str">
        <f>IF('H.W&amp;S.W&amp;Services'!E408=0,"",'H.W&amp;S.W&amp;Services'!E408)</f>
        <v/>
      </c>
    </row>
    <row r="395" spans="1:10" x14ac:dyDescent="0.2">
      <c r="A395" s="2" t="str">
        <f t="shared" ca="1" si="7"/>
        <v/>
      </c>
      <c r="B395" s="2" t="str">
        <f>IF('H.W&amp;S.W&amp;Services'!C409=0,"",'H.W&amp;S.W&amp;Services'!C409)</f>
        <v/>
      </c>
      <c r="C395" s="2" t="str">
        <f>IF('H.W&amp;S.W&amp;Services'!C409=0,"",'H.W&amp;S.W&amp;Services'!C409)</f>
        <v/>
      </c>
      <c r="D395" s="2" t="str">
        <f>IF('H.W&amp;S.W&amp;Services'!H409=0,"",'H.W&amp;S.W&amp;Services'!H409)</f>
        <v/>
      </c>
      <c r="E395" s="2" t="str">
        <f>IF('H.W&amp;S.W&amp;Services'!I409=0,"",'H.W&amp;S.W&amp;Services'!I409)</f>
        <v/>
      </c>
      <c r="F395" s="3" t="str">
        <f>IF('H.W&amp;S.W&amp;Services'!J409=0,"",'H.W&amp;S.W&amp;Services'!J409)</f>
        <v/>
      </c>
      <c r="G395" s="4" t="str">
        <f>IF('H.W&amp;S.W&amp;Services'!O409=0,"",'H.W&amp;S.W&amp;Services'!O409)</f>
        <v/>
      </c>
      <c r="H395" s="2" t="str">
        <f>IF('H.W&amp;S.W&amp;Services'!B409=0,"",'H.W&amp;S.W&amp;Services'!B409) &amp; IF('H.W&amp;S.W&amp;Services'!F409=0,""," / "&amp;'H.W&amp;S.W&amp;Services'!F409) &amp; IF('H.W&amp;S.W&amp;Services'!G409=0,""," / "&amp;'H.W&amp;S.W&amp;Services'!G409)</f>
        <v/>
      </c>
      <c r="I395" t="str">
        <f>IF('H.W&amp;S.W&amp;Services'!D409=0,"",'H.W&amp;S.W&amp;Services'!D409)</f>
        <v/>
      </c>
      <c r="J395" s="2" t="str">
        <f>IF('H.W&amp;S.W&amp;Services'!E409=0,"",'H.W&amp;S.W&amp;Services'!E409)</f>
        <v/>
      </c>
    </row>
    <row r="396" spans="1:10" x14ac:dyDescent="0.2">
      <c r="A396" s="2" t="str">
        <f t="shared" ca="1" si="7"/>
        <v/>
      </c>
      <c r="B396" s="2" t="str">
        <f>IF('H.W&amp;S.W&amp;Services'!C410=0,"",'H.W&amp;S.W&amp;Services'!C410)</f>
        <v/>
      </c>
      <c r="C396" s="2" t="str">
        <f>IF('H.W&amp;S.W&amp;Services'!C410=0,"",'H.W&amp;S.W&amp;Services'!C410)</f>
        <v/>
      </c>
      <c r="D396" s="2" t="str">
        <f>IF('H.W&amp;S.W&amp;Services'!H410=0,"",'H.W&amp;S.W&amp;Services'!H410)</f>
        <v/>
      </c>
      <c r="E396" s="2" t="str">
        <f>IF('H.W&amp;S.W&amp;Services'!I410=0,"",'H.W&amp;S.W&amp;Services'!I410)</f>
        <v/>
      </c>
      <c r="F396" s="3" t="str">
        <f>IF('H.W&amp;S.W&amp;Services'!J410=0,"",'H.W&amp;S.W&amp;Services'!J410)</f>
        <v/>
      </c>
      <c r="G396" s="4" t="str">
        <f>IF('H.W&amp;S.W&amp;Services'!O410=0,"",'H.W&amp;S.W&amp;Services'!O410)</f>
        <v/>
      </c>
      <c r="H396" s="2" t="str">
        <f>IF('H.W&amp;S.W&amp;Services'!B410=0,"",'H.W&amp;S.W&amp;Services'!B410) &amp; IF('H.W&amp;S.W&amp;Services'!F410=0,""," / "&amp;'H.W&amp;S.W&amp;Services'!F410) &amp; IF('H.W&amp;S.W&amp;Services'!G410=0,""," / "&amp;'H.W&amp;S.W&amp;Services'!G410)</f>
        <v/>
      </c>
      <c r="I396" t="str">
        <f>IF('H.W&amp;S.W&amp;Services'!D410=0,"",'H.W&amp;S.W&amp;Services'!D410)</f>
        <v/>
      </c>
      <c r="J396" s="2" t="str">
        <f>IF('H.W&amp;S.W&amp;Services'!E410=0,"",'H.W&amp;S.W&amp;Services'!E410)</f>
        <v/>
      </c>
    </row>
    <row r="397" spans="1:10" x14ac:dyDescent="0.2">
      <c r="A397" s="2" t="str">
        <f t="shared" ca="1" si="7"/>
        <v/>
      </c>
      <c r="B397" s="2" t="str">
        <f>IF('H.W&amp;S.W&amp;Services'!C411=0,"",'H.W&amp;S.W&amp;Services'!C411)</f>
        <v/>
      </c>
      <c r="C397" s="2" t="str">
        <f>IF('H.W&amp;S.W&amp;Services'!C411=0,"",'H.W&amp;S.W&amp;Services'!C411)</f>
        <v/>
      </c>
      <c r="D397" s="2" t="str">
        <f>IF('H.W&amp;S.W&amp;Services'!H411=0,"",'H.W&amp;S.W&amp;Services'!H411)</f>
        <v/>
      </c>
      <c r="E397" s="2" t="str">
        <f>IF('H.W&amp;S.W&amp;Services'!I411=0,"",'H.W&amp;S.W&amp;Services'!I411)</f>
        <v/>
      </c>
      <c r="F397" s="3" t="str">
        <f>IF('H.W&amp;S.W&amp;Services'!J411=0,"",'H.W&amp;S.W&amp;Services'!J411)</f>
        <v/>
      </c>
      <c r="G397" s="4" t="str">
        <f>IF('H.W&amp;S.W&amp;Services'!O411=0,"",'H.W&amp;S.W&amp;Services'!O411)</f>
        <v/>
      </c>
      <c r="H397" s="2" t="str">
        <f>IF('H.W&amp;S.W&amp;Services'!B411=0,"",'H.W&amp;S.W&amp;Services'!B411) &amp; IF('H.W&amp;S.W&amp;Services'!F411=0,""," / "&amp;'H.W&amp;S.W&amp;Services'!F411) &amp; IF('H.W&amp;S.W&amp;Services'!G411=0,""," / "&amp;'H.W&amp;S.W&amp;Services'!G411)</f>
        <v/>
      </c>
      <c r="I397" t="str">
        <f>IF('H.W&amp;S.W&amp;Services'!D411=0,"",'H.W&amp;S.W&amp;Services'!D411)</f>
        <v/>
      </c>
      <c r="J397" s="2" t="str">
        <f>IF('H.W&amp;S.W&amp;Services'!E411=0,"",'H.W&amp;S.W&amp;Services'!E411)</f>
        <v/>
      </c>
    </row>
    <row r="398" spans="1:10" x14ac:dyDescent="0.2">
      <c r="A398" s="2" t="str">
        <f t="shared" ca="1" si="7"/>
        <v/>
      </c>
      <c r="B398" s="2" t="str">
        <f>IF('H.W&amp;S.W&amp;Services'!C412=0,"",'H.W&amp;S.W&amp;Services'!C412)</f>
        <v/>
      </c>
      <c r="C398" s="2" t="str">
        <f>IF('H.W&amp;S.W&amp;Services'!C412=0,"",'H.W&amp;S.W&amp;Services'!C412)</f>
        <v/>
      </c>
      <c r="D398" s="2" t="str">
        <f>IF('H.W&amp;S.W&amp;Services'!H412=0,"",'H.W&amp;S.W&amp;Services'!H412)</f>
        <v/>
      </c>
      <c r="E398" s="2" t="str">
        <f>IF('H.W&amp;S.W&amp;Services'!I412=0,"",'H.W&amp;S.W&amp;Services'!I412)</f>
        <v/>
      </c>
      <c r="F398" s="3" t="str">
        <f>IF('H.W&amp;S.W&amp;Services'!J412=0,"",'H.W&amp;S.W&amp;Services'!J412)</f>
        <v/>
      </c>
      <c r="G398" s="4" t="str">
        <f>IF('H.W&amp;S.W&amp;Services'!O412=0,"",'H.W&amp;S.W&amp;Services'!O412)</f>
        <v/>
      </c>
      <c r="H398" s="2" t="str">
        <f>IF('H.W&amp;S.W&amp;Services'!B412=0,"",'H.W&amp;S.W&amp;Services'!B412) &amp; IF('H.W&amp;S.W&amp;Services'!F412=0,""," / "&amp;'H.W&amp;S.W&amp;Services'!F412) &amp; IF('H.W&amp;S.W&amp;Services'!G412=0,""," / "&amp;'H.W&amp;S.W&amp;Services'!G412)</f>
        <v/>
      </c>
      <c r="I398" t="str">
        <f>IF('H.W&amp;S.W&amp;Services'!D412=0,"",'H.W&amp;S.W&amp;Services'!D412)</f>
        <v/>
      </c>
      <c r="J398" s="2" t="str">
        <f>IF('H.W&amp;S.W&amp;Services'!E412=0,"",'H.W&amp;S.W&amp;Services'!E412)</f>
        <v/>
      </c>
    </row>
    <row r="399" spans="1:10" x14ac:dyDescent="0.2">
      <c r="A399" s="2" t="str">
        <f t="shared" ca="1" si="7"/>
        <v/>
      </c>
      <c r="B399" s="2" t="str">
        <f>IF('H.W&amp;S.W&amp;Services'!C413=0,"",'H.W&amp;S.W&amp;Services'!C413)</f>
        <v/>
      </c>
      <c r="C399" s="2" t="str">
        <f>IF('H.W&amp;S.W&amp;Services'!C413=0,"",'H.W&amp;S.W&amp;Services'!C413)</f>
        <v/>
      </c>
      <c r="D399" s="2" t="str">
        <f>IF('H.W&amp;S.W&amp;Services'!H413=0,"",'H.W&amp;S.W&amp;Services'!H413)</f>
        <v/>
      </c>
      <c r="E399" s="2" t="str">
        <f>IF('H.W&amp;S.W&amp;Services'!I413=0,"",'H.W&amp;S.W&amp;Services'!I413)</f>
        <v/>
      </c>
      <c r="F399" s="3" t="str">
        <f>IF('H.W&amp;S.W&amp;Services'!J413=0,"",'H.W&amp;S.W&amp;Services'!J413)</f>
        <v/>
      </c>
      <c r="G399" s="4" t="str">
        <f>IF('H.W&amp;S.W&amp;Services'!O413=0,"",'H.W&amp;S.W&amp;Services'!O413)</f>
        <v/>
      </c>
      <c r="H399" s="2" t="str">
        <f>IF('H.W&amp;S.W&amp;Services'!B413=0,"",'H.W&amp;S.W&amp;Services'!B413) &amp; IF('H.W&amp;S.W&amp;Services'!F413=0,""," / "&amp;'H.W&amp;S.W&amp;Services'!F413) &amp; IF('H.W&amp;S.W&amp;Services'!G413=0,""," / "&amp;'H.W&amp;S.W&amp;Services'!G413)</f>
        <v/>
      </c>
      <c r="I399" t="str">
        <f>IF('H.W&amp;S.W&amp;Services'!D413=0,"",'H.W&amp;S.W&amp;Services'!D413)</f>
        <v/>
      </c>
      <c r="J399" s="2" t="str">
        <f>IF('H.W&amp;S.W&amp;Services'!E413=0,"",'H.W&amp;S.W&amp;Services'!E413)</f>
        <v/>
      </c>
    </row>
    <row r="400" spans="1:10" x14ac:dyDescent="0.2">
      <c r="A400" s="2" t="str">
        <f t="shared" ca="1" si="7"/>
        <v/>
      </c>
      <c r="B400" s="2" t="str">
        <f>IF('H.W&amp;S.W&amp;Services'!C414=0,"",'H.W&amp;S.W&amp;Services'!C414)</f>
        <v/>
      </c>
      <c r="C400" s="2" t="str">
        <f>IF('H.W&amp;S.W&amp;Services'!C414=0,"",'H.W&amp;S.W&amp;Services'!C414)</f>
        <v/>
      </c>
      <c r="D400" s="2" t="str">
        <f>IF('H.W&amp;S.W&amp;Services'!H414=0,"",'H.W&amp;S.W&amp;Services'!H414)</f>
        <v/>
      </c>
      <c r="E400" s="2" t="str">
        <f>IF('H.W&amp;S.W&amp;Services'!I414=0,"",'H.W&amp;S.W&amp;Services'!I414)</f>
        <v/>
      </c>
      <c r="F400" s="3" t="str">
        <f>IF('H.W&amp;S.W&amp;Services'!J414=0,"",'H.W&amp;S.W&amp;Services'!J414)</f>
        <v/>
      </c>
      <c r="G400" s="4" t="str">
        <f>IF('H.W&amp;S.W&amp;Services'!O414=0,"",'H.W&amp;S.W&amp;Services'!O414)</f>
        <v/>
      </c>
      <c r="H400" s="2" t="str">
        <f>IF('H.W&amp;S.W&amp;Services'!B414=0,"",'H.W&amp;S.W&amp;Services'!B414) &amp; IF('H.W&amp;S.W&amp;Services'!F414=0,""," / "&amp;'H.W&amp;S.W&amp;Services'!F414) &amp; IF('H.W&amp;S.W&amp;Services'!G414=0,""," / "&amp;'H.W&amp;S.W&amp;Services'!G414)</f>
        <v/>
      </c>
      <c r="I400" t="str">
        <f>IF('H.W&amp;S.W&amp;Services'!D414=0,"",'H.W&amp;S.W&amp;Services'!D414)</f>
        <v/>
      </c>
      <c r="J400" s="2" t="str">
        <f>IF('H.W&amp;S.W&amp;Services'!E414=0,"",'H.W&amp;S.W&amp;Services'!E414)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MN350"/>
  <sheetViews>
    <sheetView showGridLines="0" tabSelected="1" topLeftCell="G1" zoomScale="110" zoomScaleNormal="110" workbookViewId="0">
      <selection activeCell="J347" sqref="J347"/>
    </sheetView>
  </sheetViews>
  <sheetFormatPr baseColWidth="10" defaultColWidth="9.1640625" defaultRowHeight="15" customHeight="1" x14ac:dyDescent="0.2"/>
  <cols>
    <col min="1" max="1" width="11.83203125" style="5" customWidth="1"/>
    <col min="2" max="2" width="15.5" style="5" customWidth="1"/>
    <col min="3" max="3" width="18.6640625" bestFit="1" customWidth="1"/>
    <col min="4" max="5" width="18.6640625" customWidth="1"/>
    <col min="6" max="7" width="18.1640625" style="5" customWidth="1"/>
    <col min="8" max="8" width="35.6640625" style="5" bestFit="1" customWidth="1"/>
    <col min="9" max="9" width="41.83203125" style="5" customWidth="1"/>
    <col min="10" max="10" width="17.1640625" bestFit="1" customWidth="1"/>
    <col min="11" max="11" width="11" style="5" customWidth="1"/>
    <col min="12" max="12" width="18.1640625" style="5" customWidth="1"/>
    <col min="13" max="13" width="18.83203125" style="5" bestFit="1" customWidth="1"/>
    <col min="14" max="14" width="18.83203125" style="5" customWidth="1"/>
    <col min="15" max="15" width="15.5" style="5" customWidth="1"/>
    <col min="16" max="16" width="17.1640625" style="5" bestFit="1" customWidth="1"/>
    <col min="17" max="17" width="20" style="5" customWidth="1"/>
    <col min="18" max="18" width="16.5" style="5" customWidth="1"/>
    <col min="19" max="21" width="9.1640625" style="5"/>
    <col min="22" max="22" width="22" style="5" customWidth="1"/>
    <col min="23" max="24" width="9.1640625" style="5"/>
    <col min="25" max="25" width="9.1640625" style="59"/>
    <col min="26" max="26" width="14.1640625" style="62" bestFit="1" customWidth="1"/>
    <col min="27" max="35" width="9.1640625" style="59"/>
    <col min="36" max="1028" width="9.1640625" style="5"/>
  </cols>
  <sheetData>
    <row r="1" spans="1:35 1027:1028" ht="17.5" customHeight="1" x14ac:dyDescent="0.2">
      <c r="A1" s="51"/>
      <c r="B1" s="51" t="s">
        <v>10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T1" s="6"/>
      <c r="AMM1"/>
      <c r="AMN1"/>
    </row>
    <row r="2" spans="1:35 1027:1028" ht="17.5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T2" s="60"/>
      <c r="U2" s="59"/>
      <c r="V2" s="59"/>
      <c r="W2" s="59"/>
      <c r="X2" s="59"/>
      <c r="Z2" s="63" t="s">
        <v>54</v>
      </c>
      <c r="AMM2"/>
      <c r="AMN2"/>
    </row>
    <row r="3" spans="1:35 1027:1028" s="6" customFormat="1" ht="18" customHeight="1" thickBot="1" x14ac:dyDescent="0.25">
      <c r="A3" s="66" t="s">
        <v>11</v>
      </c>
      <c r="B3" s="67"/>
      <c r="T3" s="60"/>
      <c r="U3" s="60"/>
      <c r="V3" s="60"/>
      <c r="W3" s="60"/>
      <c r="X3" s="60"/>
      <c r="Y3" s="60"/>
      <c r="Z3" s="63" t="s">
        <v>55</v>
      </c>
      <c r="AA3" s="60"/>
      <c r="AB3" s="60"/>
      <c r="AC3" s="60"/>
      <c r="AD3" s="60"/>
      <c r="AE3" s="60"/>
      <c r="AF3" s="60"/>
      <c r="AG3" s="60"/>
      <c r="AH3" s="60"/>
      <c r="AI3" s="60"/>
    </row>
    <row r="4" spans="1:35 1027:1028" s="6" customFormat="1" ht="20" thickTop="1" thickBot="1" x14ac:dyDescent="0.25">
      <c r="A4" s="68">
        <v>45728</v>
      </c>
      <c r="B4" s="69"/>
      <c r="C4" s="7"/>
      <c r="D4" s="7"/>
      <c r="E4" s="7"/>
      <c r="F4" s="7"/>
      <c r="T4" s="60"/>
      <c r="U4" s="60"/>
      <c r="V4" s="60"/>
      <c r="W4" s="60"/>
      <c r="X4" s="60"/>
      <c r="Y4" s="60"/>
      <c r="Z4" s="63" t="s">
        <v>56</v>
      </c>
      <c r="AA4" s="60"/>
      <c r="AB4" s="60"/>
      <c r="AC4" s="60"/>
      <c r="AD4" s="60"/>
      <c r="AE4" s="60"/>
      <c r="AF4" s="60"/>
      <c r="AG4" s="60"/>
      <c r="AH4" s="60"/>
      <c r="AI4" s="60"/>
    </row>
    <row r="5" spans="1:35 1027:1028" s="6" customFormat="1" ht="20" thickTop="1" thickBot="1" x14ac:dyDescent="0.25">
      <c r="A5" s="70" t="s">
        <v>12</v>
      </c>
      <c r="B5" s="71"/>
      <c r="H5" s="8" t="s">
        <v>13</v>
      </c>
      <c r="J5" s="9"/>
      <c r="K5" s="9"/>
      <c r="L5" s="10" t="s">
        <v>14</v>
      </c>
      <c r="M5" s="11" t="s">
        <v>15</v>
      </c>
      <c r="O5" s="10" t="s">
        <v>14</v>
      </c>
      <c r="P5" s="11" t="s">
        <v>16</v>
      </c>
      <c r="T5" s="60"/>
      <c r="U5" s="60"/>
      <c r="V5" s="60"/>
      <c r="W5" s="60"/>
      <c r="X5" s="60"/>
      <c r="Y5" s="60"/>
      <c r="Z5" s="63" t="s">
        <v>57</v>
      </c>
      <c r="AA5" s="60"/>
      <c r="AB5" s="60"/>
      <c r="AC5" s="60"/>
      <c r="AD5" s="60"/>
      <c r="AE5" s="60"/>
      <c r="AF5" s="60"/>
      <c r="AG5" s="60"/>
      <c r="AH5" s="60"/>
      <c r="AI5" s="60"/>
    </row>
    <row r="6" spans="1:35 1027:1028" s="6" customFormat="1" ht="20" thickTop="1" thickBot="1" x14ac:dyDescent="0.25">
      <c r="A6" s="72" t="s">
        <v>44</v>
      </c>
      <c r="B6" s="73"/>
      <c r="C6" s="12"/>
      <c r="D6" s="12"/>
      <c r="E6" s="12"/>
      <c r="F6" s="12"/>
      <c r="H6" s="13" t="s">
        <v>47</v>
      </c>
      <c r="J6" s="14"/>
      <c r="K6" s="14"/>
      <c r="L6" s="15" t="s">
        <v>17</v>
      </c>
      <c r="M6" s="16">
        <f>SUBTOTAL(9,Table2[[#All],[Total Cost]])</f>
        <v>0</v>
      </c>
      <c r="N6" s="12"/>
      <c r="O6" s="15" t="s">
        <v>18</v>
      </c>
      <c r="P6" s="16">
        <f>SUBTOTAL(9,'H.W&amp;S.W&amp;Services'!$P$15:$P$200)</f>
        <v>0</v>
      </c>
      <c r="T6" s="60"/>
      <c r="U6" s="60"/>
      <c r="V6" s="60"/>
      <c r="W6" s="60"/>
      <c r="X6" s="60"/>
      <c r="Y6" s="60"/>
      <c r="Z6" s="63" t="s">
        <v>58</v>
      </c>
      <c r="AA6" s="60"/>
      <c r="AB6" s="60"/>
      <c r="AC6" s="60"/>
      <c r="AD6" s="60"/>
      <c r="AE6" s="60"/>
      <c r="AF6" s="60"/>
      <c r="AG6" s="60"/>
      <c r="AH6" s="60"/>
      <c r="AI6" s="60"/>
    </row>
    <row r="7" spans="1:35 1027:1028" s="6" customFormat="1" ht="20" thickTop="1" thickBot="1" x14ac:dyDescent="0.25">
      <c r="A7" s="70" t="s">
        <v>19</v>
      </c>
      <c r="B7" s="71"/>
      <c r="H7" s="17" t="s">
        <v>20</v>
      </c>
      <c r="I7" s="9"/>
      <c r="J7" s="9"/>
      <c r="K7" s="9"/>
      <c r="L7" s="15" t="s">
        <v>21</v>
      </c>
      <c r="M7" s="16">
        <f>IF(M5="Yes",M6*14%,0)</f>
        <v>0</v>
      </c>
      <c r="O7" s="15" t="s">
        <v>21</v>
      </c>
      <c r="P7" s="16">
        <f>IF(P5="Yes",P6*14%,0)</f>
        <v>0</v>
      </c>
      <c r="T7" s="60"/>
      <c r="U7" s="60"/>
      <c r="V7" s="60"/>
      <c r="W7" s="60"/>
      <c r="X7" s="60"/>
      <c r="Y7" s="60"/>
      <c r="Z7" s="63" t="s">
        <v>59</v>
      </c>
      <c r="AA7" s="60"/>
      <c r="AB7" s="60"/>
      <c r="AC7" s="60"/>
      <c r="AD7" s="60"/>
      <c r="AE7" s="60"/>
      <c r="AF7" s="60"/>
      <c r="AG7" s="60"/>
      <c r="AH7" s="60"/>
      <c r="AI7" s="60"/>
    </row>
    <row r="8" spans="1:35 1027:1028" s="6" customFormat="1" ht="20" thickTop="1" thickBot="1" x14ac:dyDescent="0.25">
      <c r="A8" s="72" t="s">
        <v>45</v>
      </c>
      <c r="B8" s="73"/>
      <c r="C8" s="12"/>
      <c r="D8" s="12"/>
      <c r="E8" s="12"/>
      <c r="F8" s="12"/>
      <c r="H8" s="18" t="s">
        <v>48</v>
      </c>
      <c r="J8" s="14"/>
      <c r="K8" s="14"/>
      <c r="L8" s="15" t="s">
        <v>22</v>
      </c>
      <c r="M8" s="16">
        <f>M6+M7</f>
        <v>0</v>
      </c>
      <c r="N8" s="12"/>
      <c r="O8" s="15" t="s">
        <v>23</v>
      </c>
      <c r="P8" s="16">
        <f>P6+P7</f>
        <v>0</v>
      </c>
      <c r="T8" s="60"/>
      <c r="U8" s="60"/>
      <c r="V8" s="60"/>
      <c r="W8" s="60"/>
      <c r="X8" s="60"/>
      <c r="Y8" s="60"/>
      <c r="Z8" s="63" t="s">
        <v>60</v>
      </c>
      <c r="AA8" s="60"/>
      <c r="AB8" s="60"/>
      <c r="AC8" s="60"/>
      <c r="AD8" s="60"/>
      <c r="AE8" s="60"/>
      <c r="AF8" s="60"/>
      <c r="AG8" s="60"/>
      <c r="AH8" s="60"/>
      <c r="AI8" s="60"/>
    </row>
    <row r="9" spans="1:35 1027:1028" s="6" customFormat="1" ht="18.5" customHeight="1" thickTop="1" thickBot="1" x14ac:dyDescent="0.25">
      <c r="A9" s="70" t="s">
        <v>24</v>
      </c>
      <c r="B9" s="71"/>
      <c r="H9" s="19"/>
      <c r="O9" s="20" t="s">
        <v>25</v>
      </c>
      <c r="P9" s="21" t="e">
        <f>(P6-M6)/M6</f>
        <v>#DIV/0!</v>
      </c>
      <c r="T9" s="60"/>
      <c r="U9" s="60"/>
      <c r="V9" s="60"/>
      <c r="W9" s="60"/>
      <c r="X9" s="60"/>
      <c r="Y9" s="60"/>
      <c r="Z9" s="63" t="s">
        <v>61</v>
      </c>
      <c r="AA9" s="60"/>
      <c r="AB9" s="60"/>
      <c r="AC9" s="60"/>
      <c r="AD9" s="60"/>
      <c r="AE9" s="60"/>
      <c r="AF9" s="60"/>
      <c r="AG9" s="60"/>
      <c r="AH9" s="60"/>
      <c r="AI9" s="60"/>
    </row>
    <row r="10" spans="1:35 1027:1028" s="6" customFormat="1" ht="20" thickTop="1" thickBot="1" x14ac:dyDescent="0.25">
      <c r="A10" s="72" t="s">
        <v>46</v>
      </c>
      <c r="B10" s="73"/>
      <c r="T10" s="60"/>
      <c r="U10" s="60"/>
      <c r="V10" s="60"/>
      <c r="W10" s="60"/>
      <c r="X10" s="60"/>
      <c r="Y10" s="60"/>
      <c r="Z10" s="63" t="s">
        <v>62</v>
      </c>
      <c r="AA10" s="60"/>
      <c r="AB10" s="60"/>
      <c r="AC10" s="60"/>
      <c r="AD10" s="60"/>
      <c r="AE10" s="60"/>
      <c r="AF10" s="60"/>
      <c r="AG10" s="60"/>
      <c r="AH10" s="60"/>
      <c r="AI10" s="60"/>
    </row>
    <row r="11" spans="1:35 1027:1028" s="6" customFormat="1" ht="18.5" customHeight="1" thickTop="1" thickBot="1" x14ac:dyDescent="0.25">
      <c r="A11" s="70" t="s">
        <v>26</v>
      </c>
      <c r="B11" s="71"/>
      <c r="T11" s="60"/>
      <c r="U11" s="60"/>
      <c r="V11" s="60"/>
      <c r="W11" s="60"/>
      <c r="X11" s="60"/>
      <c r="Y11" s="60"/>
      <c r="Z11" s="63" t="s">
        <v>63</v>
      </c>
      <c r="AA11" s="60"/>
      <c r="AB11" s="60"/>
      <c r="AC11" s="60"/>
      <c r="AD11" s="60"/>
      <c r="AE11" s="60"/>
      <c r="AF11" s="60"/>
      <c r="AG11" s="60"/>
      <c r="AH11" s="60"/>
      <c r="AI11" s="60"/>
    </row>
    <row r="12" spans="1:35 1027:1028" s="6" customFormat="1" ht="20" thickTop="1" thickBot="1" x14ac:dyDescent="0.25">
      <c r="A12" s="74" t="s">
        <v>46</v>
      </c>
      <c r="B12" s="75"/>
      <c r="T12" s="60"/>
      <c r="U12" s="60"/>
      <c r="V12" s="60"/>
      <c r="W12" s="60"/>
      <c r="X12" s="60"/>
      <c r="Y12" s="60"/>
      <c r="Z12" s="63" t="s">
        <v>64</v>
      </c>
      <c r="AA12" s="60"/>
      <c r="AB12" s="60"/>
      <c r="AC12" s="60"/>
      <c r="AD12" s="60"/>
      <c r="AE12" s="60"/>
      <c r="AF12" s="60"/>
      <c r="AG12" s="60"/>
      <c r="AH12" s="60"/>
      <c r="AI12" s="60"/>
    </row>
    <row r="13" spans="1:35 1027:1028" s="6" customFormat="1" ht="18" x14ac:dyDescent="0.2">
      <c r="T13" s="60"/>
      <c r="U13" s="60"/>
      <c r="V13" s="60"/>
      <c r="W13" s="60"/>
      <c r="X13" s="60"/>
      <c r="Y13" s="60"/>
      <c r="Z13" s="63" t="s">
        <v>65</v>
      </c>
      <c r="AA13" s="60"/>
      <c r="AB13" s="60"/>
      <c r="AC13" s="60"/>
      <c r="AD13" s="60"/>
      <c r="AE13" s="60"/>
      <c r="AF13" s="60"/>
      <c r="AG13" s="60"/>
      <c r="AH13" s="60"/>
      <c r="AI13" s="60"/>
    </row>
    <row r="14" spans="1:35 1027:1028" s="6" customFormat="1" ht="19" thickBot="1" x14ac:dyDescent="0.25">
      <c r="L14" s="22"/>
      <c r="M14" s="23"/>
      <c r="O14" s="24"/>
      <c r="P14" s="25"/>
      <c r="T14" s="60"/>
      <c r="U14" s="60"/>
      <c r="V14" s="60"/>
      <c r="W14" s="60"/>
      <c r="X14" s="60"/>
      <c r="Y14" s="60"/>
      <c r="Z14" s="63" t="s">
        <v>66</v>
      </c>
      <c r="AA14" s="60"/>
      <c r="AB14" s="60"/>
      <c r="AC14" s="60"/>
      <c r="AD14" s="60"/>
      <c r="AE14" s="60"/>
      <c r="AF14" s="60"/>
      <c r="AG14" s="60"/>
      <c r="AH14" s="60"/>
      <c r="AI14" s="60"/>
    </row>
    <row r="15" spans="1:35 1027:1028" s="12" customFormat="1" ht="20" thickTop="1" thickBot="1" x14ac:dyDescent="0.25">
      <c r="A15" s="27" t="s">
        <v>27</v>
      </c>
      <c r="B15" s="26" t="s">
        <v>28</v>
      </c>
      <c r="C15" s="27" t="s">
        <v>2</v>
      </c>
      <c r="D15" s="48" t="s">
        <v>29</v>
      </c>
      <c r="E15" s="48" t="s">
        <v>30</v>
      </c>
      <c r="F15" s="48" t="s">
        <v>31</v>
      </c>
      <c r="G15" s="48" t="s">
        <v>7</v>
      </c>
      <c r="H15" s="27" t="s">
        <v>32</v>
      </c>
      <c r="I15" s="28" t="s">
        <v>33</v>
      </c>
      <c r="J15" s="29" t="s">
        <v>34</v>
      </c>
      <c r="K15" s="30" t="s">
        <v>35</v>
      </c>
      <c r="L15" s="29" t="s">
        <v>36</v>
      </c>
      <c r="M15" s="28" t="s">
        <v>37</v>
      </c>
      <c r="N15" s="30" t="s">
        <v>38</v>
      </c>
      <c r="O15" s="29" t="s">
        <v>39</v>
      </c>
      <c r="P15" s="28" t="s">
        <v>40</v>
      </c>
      <c r="T15" s="61"/>
      <c r="U15" s="61"/>
      <c r="V15" s="61"/>
      <c r="W15" s="61"/>
      <c r="X15" s="61"/>
      <c r="Y15" s="61"/>
      <c r="Z15" s="63" t="s">
        <v>67</v>
      </c>
      <c r="AA15" s="61"/>
      <c r="AB15" s="61"/>
      <c r="AC15" s="61"/>
      <c r="AD15" s="61"/>
      <c r="AE15" s="61"/>
      <c r="AF15" s="61"/>
      <c r="AG15" s="61"/>
      <c r="AH15" s="61"/>
      <c r="AI15" s="61"/>
    </row>
    <row r="16" spans="1:35 1027:1028" s="12" customFormat="1" ht="70.5" customHeight="1" thickTop="1" x14ac:dyDescent="0.2">
      <c r="A16" s="32">
        <v>1</v>
      </c>
      <c r="B16" s="31" t="s">
        <v>41</v>
      </c>
      <c r="C16" s="33">
        <v>2323232</v>
      </c>
      <c r="D16" s="52" t="s">
        <v>49</v>
      </c>
      <c r="E16" s="52" t="s">
        <v>50</v>
      </c>
      <c r="F16" s="49" t="s">
        <v>51</v>
      </c>
      <c r="G16" s="49" t="s">
        <v>43</v>
      </c>
      <c r="H16" s="53" t="s">
        <v>52</v>
      </c>
      <c r="I16" s="55">
        <v>3</v>
      </c>
      <c r="J16" s="34"/>
      <c r="K16" s="35"/>
      <c r="L16" s="34">
        <f>(Table210[[#This Row],[Unit cost]]*Table311[[#This Row],[FX]])+Table210[[#This Row],[Unit cost]]</f>
        <v>0</v>
      </c>
      <c r="M16" s="36">
        <f>'H.W&amp;S.W&amp;Services'!$I16*Table2[[#This Row],[Unit cost FX]]</f>
        <v>0</v>
      </c>
      <c r="N16" s="35"/>
      <c r="O16" s="37">
        <f>(Table2[[#This Row],[Unit cost FX]]*Table3[[#This Row],[%]])+Table2[[#This Row],[Unit cost FX]]</f>
        <v>0</v>
      </c>
      <c r="P16" s="36">
        <f>'H.W&amp;S.W&amp;Services'!$O16*'H.W&amp;S.W&amp;Services'!$I16</f>
        <v>0</v>
      </c>
      <c r="Q16" s="38"/>
      <c r="R16" s="39"/>
      <c r="T16" s="61"/>
      <c r="U16" s="61"/>
      <c r="V16" s="61"/>
      <c r="W16" s="61"/>
      <c r="X16" s="61"/>
      <c r="Y16" s="61"/>
      <c r="Z16" s="63" t="s">
        <v>68</v>
      </c>
      <c r="AA16" s="61"/>
      <c r="AB16" s="61"/>
      <c r="AC16" s="61"/>
      <c r="AD16" s="61"/>
      <c r="AE16" s="61"/>
      <c r="AF16" s="61"/>
      <c r="AG16" s="61"/>
      <c r="AH16" s="61"/>
      <c r="AI16" s="61"/>
    </row>
    <row r="17" spans="1:35" s="6" customFormat="1" ht="18" x14ac:dyDescent="0.2">
      <c r="A17" s="40"/>
      <c r="B17" s="31" t="s">
        <v>42</v>
      </c>
      <c r="C17" s="41">
        <v>334343</v>
      </c>
      <c r="D17" s="52" t="s">
        <v>49</v>
      </c>
      <c r="E17" s="52" t="s">
        <v>50</v>
      </c>
      <c r="F17" s="49" t="s">
        <v>51</v>
      </c>
      <c r="G17" s="49" t="s">
        <v>43</v>
      </c>
      <c r="H17" s="54" t="s">
        <v>53</v>
      </c>
      <c r="I17" s="55">
        <v>6</v>
      </c>
      <c r="J17" s="43"/>
      <c r="K17" s="35"/>
      <c r="L17" s="34">
        <f>(Table210[[#This Row],[Unit cost]]*Table311[[#This Row],[FX]])+Table210[[#This Row],[Unit cost]]</f>
        <v>0</v>
      </c>
      <c r="M17" s="36">
        <f>'H.W&amp;S.W&amp;Services'!$I17*Table2[[#This Row],[Unit cost FX]]</f>
        <v>0</v>
      </c>
      <c r="N17" s="45"/>
      <c r="O17" s="37">
        <f>(Table2[[#This Row],[Unit cost FX]]*Table3[[#This Row],[%]])+Table2[[#This Row],[Unit cost FX]]</f>
        <v>0</v>
      </c>
      <c r="P17" s="44">
        <f>'H.W&amp;S.W&amp;Services'!$O17*'H.W&amp;S.W&amp;Services'!$I17</f>
        <v>0</v>
      </c>
      <c r="T17" s="60"/>
      <c r="U17" s="60"/>
      <c r="V17" s="60"/>
      <c r="W17" s="60"/>
      <c r="X17" s="60"/>
      <c r="Y17" s="60"/>
      <c r="Z17" s="63" t="s">
        <v>69</v>
      </c>
      <c r="AA17" s="60"/>
      <c r="AB17" s="60"/>
      <c r="AC17" s="60"/>
      <c r="AD17" s="60"/>
      <c r="AE17" s="60"/>
      <c r="AF17" s="60"/>
      <c r="AG17" s="60"/>
      <c r="AH17" s="60"/>
      <c r="AI17" s="60"/>
    </row>
    <row r="18" spans="1:35" s="6" customFormat="1" ht="18" x14ac:dyDescent="0.2">
      <c r="A18" s="40"/>
      <c r="B18" s="31"/>
      <c r="C18" s="41"/>
      <c r="D18" s="52"/>
      <c r="E18" s="52"/>
      <c r="F18" s="49"/>
      <c r="G18" s="49"/>
      <c r="H18" s="54"/>
      <c r="I18" s="55"/>
      <c r="J18" s="43"/>
      <c r="K18" s="45"/>
      <c r="L18" s="34">
        <f>(Table210[[#This Row],[Unit cost]]*Table311[[#This Row],[FX]])+Table210[[#This Row],[Unit cost]]</f>
        <v>0</v>
      </c>
      <c r="M18" s="36">
        <f>'H.W&amp;S.W&amp;Services'!$I18*Table2[[#This Row],[Unit cost FX]]</f>
        <v>0</v>
      </c>
      <c r="N18" s="45"/>
      <c r="O18" s="37">
        <f>(Table2[[#This Row],[Unit cost FX]]*Table3[[#This Row],[%]])+Table2[[#This Row],[Unit cost FX]]</f>
        <v>0</v>
      </c>
      <c r="P18" s="44">
        <f>'H.W&amp;S.W&amp;Services'!$O18*'H.W&amp;S.W&amp;Services'!$I18</f>
        <v>0</v>
      </c>
      <c r="T18" s="60"/>
      <c r="U18" s="60"/>
      <c r="V18" s="60"/>
      <c r="W18" s="60"/>
      <c r="X18" s="60"/>
      <c r="Y18" s="60"/>
      <c r="Z18" s="63" t="s">
        <v>70</v>
      </c>
      <c r="AA18" s="60"/>
      <c r="AB18" s="60"/>
      <c r="AC18" s="60"/>
      <c r="AD18" s="60"/>
      <c r="AE18" s="60"/>
      <c r="AF18" s="60"/>
      <c r="AG18" s="60"/>
      <c r="AH18" s="60"/>
      <c r="AI18" s="60"/>
    </row>
    <row r="19" spans="1:35" s="6" customFormat="1" ht="18" x14ac:dyDescent="0.2">
      <c r="A19" s="40"/>
      <c r="B19" s="31"/>
      <c r="C19" s="41"/>
      <c r="D19" s="52"/>
      <c r="E19" s="52"/>
      <c r="F19" s="49"/>
      <c r="G19" s="49"/>
      <c r="H19" s="54"/>
      <c r="I19" s="55"/>
      <c r="J19" s="43"/>
      <c r="K19" s="45"/>
      <c r="L19" s="34">
        <f>(Table210[[#This Row],[Unit cost]]*Table311[[#This Row],[FX]])+Table210[[#This Row],[Unit cost]]</f>
        <v>0</v>
      </c>
      <c r="M19" s="36">
        <f>'H.W&amp;S.W&amp;Services'!$I19*Table2[[#This Row],[Unit cost FX]]</f>
        <v>0</v>
      </c>
      <c r="N19" s="45"/>
      <c r="O19" s="37">
        <f>(Table2[[#This Row],[Unit cost FX]]*Table3[[#This Row],[%]])+Table2[[#This Row],[Unit cost FX]]</f>
        <v>0</v>
      </c>
      <c r="P19" s="44">
        <f>'H.W&amp;S.W&amp;Services'!$O19*'H.W&amp;S.W&amp;Services'!$I19</f>
        <v>0</v>
      </c>
      <c r="T19" s="60"/>
      <c r="U19" s="60"/>
      <c r="V19" s="60"/>
      <c r="W19" s="60"/>
      <c r="X19" s="60"/>
      <c r="Y19" s="60"/>
      <c r="Z19" s="63" t="s">
        <v>71</v>
      </c>
      <c r="AA19" s="60"/>
      <c r="AB19" s="60"/>
      <c r="AC19" s="60"/>
      <c r="AD19" s="60"/>
      <c r="AE19" s="60"/>
      <c r="AF19" s="60"/>
      <c r="AG19" s="60"/>
      <c r="AH19" s="60"/>
      <c r="AI19" s="60"/>
    </row>
    <row r="20" spans="1:35" s="6" customFormat="1" ht="18" x14ac:dyDescent="0.2">
      <c r="A20" s="40"/>
      <c r="B20" s="31"/>
      <c r="C20" s="41"/>
      <c r="D20" s="52"/>
      <c r="E20" s="52"/>
      <c r="F20" s="49"/>
      <c r="G20" s="49"/>
      <c r="H20" s="54"/>
      <c r="I20" s="55"/>
      <c r="J20" s="43"/>
      <c r="K20" s="45"/>
      <c r="L20" s="34">
        <f>(Table210[[#This Row],[Unit cost]]*Table311[[#This Row],[FX]])+Table210[[#This Row],[Unit cost]]</f>
        <v>0</v>
      </c>
      <c r="M20" s="36">
        <f>'H.W&amp;S.W&amp;Services'!$I20*Table2[[#This Row],[Unit cost FX]]</f>
        <v>0</v>
      </c>
      <c r="N20" s="45"/>
      <c r="O20" s="37">
        <f>(Table2[[#This Row],[Unit cost FX]]*Table3[[#This Row],[%]])+Table2[[#This Row],[Unit cost FX]]</f>
        <v>0</v>
      </c>
      <c r="P20" s="44">
        <f>'H.W&amp;S.W&amp;Services'!$O20*'H.W&amp;S.W&amp;Services'!$I20</f>
        <v>0</v>
      </c>
      <c r="T20" s="60"/>
      <c r="U20" s="60"/>
      <c r="V20" s="60"/>
      <c r="W20" s="60"/>
      <c r="X20" s="60"/>
      <c r="Y20" s="60"/>
      <c r="Z20" s="63" t="s">
        <v>72</v>
      </c>
      <c r="AA20" s="60"/>
      <c r="AB20" s="60"/>
      <c r="AC20" s="60"/>
      <c r="AD20" s="60"/>
      <c r="AE20" s="60"/>
      <c r="AF20" s="60"/>
      <c r="AG20" s="60"/>
      <c r="AH20" s="60"/>
      <c r="AI20" s="60"/>
    </row>
    <row r="21" spans="1:35" s="6" customFormat="1" ht="18" x14ac:dyDescent="0.2">
      <c r="A21" s="40"/>
      <c r="B21" s="31"/>
      <c r="C21" s="41"/>
      <c r="D21" s="52"/>
      <c r="E21" s="52"/>
      <c r="F21" s="49"/>
      <c r="G21" s="49"/>
      <c r="H21" s="54"/>
      <c r="I21" s="55"/>
      <c r="J21" s="43"/>
      <c r="K21" s="45"/>
      <c r="L21" s="34">
        <f>(Table210[[#This Row],[Unit cost]]*Table311[[#This Row],[FX]])+Table210[[#This Row],[Unit cost]]</f>
        <v>0</v>
      </c>
      <c r="M21" s="36">
        <f>'H.W&amp;S.W&amp;Services'!$I21*Table2[[#This Row],[Unit cost FX]]</f>
        <v>0</v>
      </c>
      <c r="N21" s="45"/>
      <c r="O21" s="37">
        <f>(Table2[[#This Row],[Unit cost FX]]*Table3[[#This Row],[%]])+Table2[[#This Row],[Unit cost FX]]</f>
        <v>0</v>
      </c>
      <c r="P21" s="44">
        <f>'H.W&amp;S.W&amp;Services'!$O21*'H.W&amp;S.W&amp;Services'!$I21</f>
        <v>0</v>
      </c>
      <c r="T21" s="60"/>
      <c r="U21" s="60"/>
      <c r="V21" s="60"/>
      <c r="W21" s="60"/>
      <c r="X21" s="60"/>
      <c r="Y21" s="60"/>
      <c r="Z21" s="63" t="s">
        <v>73</v>
      </c>
      <c r="AA21" s="60"/>
      <c r="AB21" s="60"/>
      <c r="AC21" s="60"/>
      <c r="AD21" s="60"/>
      <c r="AE21" s="60"/>
      <c r="AF21" s="60"/>
      <c r="AG21" s="60"/>
      <c r="AH21" s="60"/>
      <c r="AI21" s="60"/>
    </row>
    <row r="22" spans="1:35" s="6" customFormat="1" ht="18" x14ac:dyDescent="0.2">
      <c r="A22" s="40"/>
      <c r="B22" s="31"/>
      <c r="C22" s="41"/>
      <c r="D22" s="52"/>
      <c r="E22" s="52"/>
      <c r="F22" s="49"/>
      <c r="G22" s="49"/>
      <c r="H22" s="54"/>
      <c r="I22" s="55"/>
      <c r="J22" s="43"/>
      <c r="K22" s="45"/>
      <c r="L22" s="34">
        <f>(Table210[[#This Row],[Unit cost]]*Table311[[#This Row],[FX]])+Table210[[#This Row],[Unit cost]]</f>
        <v>0</v>
      </c>
      <c r="M22" s="36">
        <f>'H.W&amp;S.W&amp;Services'!$I22*Table2[[#This Row],[Unit cost FX]]</f>
        <v>0</v>
      </c>
      <c r="N22" s="45"/>
      <c r="O22" s="37">
        <f>(Table2[[#This Row],[Unit cost FX]]*Table3[[#This Row],[%]])+Table2[[#This Row],[Unit cost FX]]</f>
        <v>0</v>
      </c>
      <c r="P22" s="44">
        <f>'H.W&amp;S.W&amp;Services'!$O22*'H.W&amp;S.W&amp;Services'!$I22</f>
        <v>0</v>
      </c>
      <c r="T22" s="60"/>
      <c r="U22" s="60"/>
      <c r="V22" s="60"/>
      <c r="W22" s="60"/>
      <c r="X22" s="60"/>
      <c r="Y22" s="60"/>
      <c r="Z22" s="63" t="s">
        <v>74</v>
      </c>
      <c r="AA22" s="60"/>
      <c r="AB22" s="60"/>
      <c r="AC22" s="60"/>
      <c r="AD22" s="60"/>
      <c r="AE22" s="60"/>
      <c r="AF22" s="60"/>
      <c r="AG22" s="60"/>
      <c r="AH22" s="60"/>
      <c r="AI22" s="60"/>
    </row>
    <row r="23" spans="1:35" s="6" customFormat="1" ht="18" x14ac:dyDescent="0.2">
      <c r="A23" s="40"/>
      <c r="B23" s="31"/>
      <c r="C23" s="41"/>
      <c r="D23" s="52"/>
      <c r="E23" s="52"/>
      <c r="F23" s="49"/>
      <c r="G23" s="49"/>
      <c r="H23" s="54"/>
      <c r="I23" s="55"/>
      <c r="J23" s="43"/>
      <c r="K23" s="45"/>
      <c r="L23" s="34">
        <f>(Table210[[#This Row],[Unit cost]]*Table311[[#This Row],[FX]])+Table210[[#This Row],[Unit cost]]</f>
        <v>0</v>
      </c>
      <c r="M23" s="36">
        <f>'H.W&amp;S.W&amp;Services'!$I23*Table2[[#This Row],[Unit cost FX]]</f>
        <v>0</v>
      </c>
      <c r="N23" s="45"/>
      <c r="O23" s="37">
        <f>(Table2[[#This Row],[Unit cost FX]]*Table3[[#This Row],[%]])+Table2[[#This Row],[Unit cost FX]]</f>
        <v>0</v>
      </c>
      <c r="P23" s="44">
        <f>'H.W&amp;S.W&amp;Services'!$O23*'H.W&amp;S.W&amp;Services'!$I23</f>
        <v>0</v>
      </c>
      <c r="T23" s="60"/>
      <c r="U23" s="60"/>
      <c r="V23" s="60"/>
      <c r="W23" s="60"/>
      <c r="X23" s="60"/>
      <c r="Y23" s="60"/>
      <c r="Z23" s="63" t="s">
        <v>75</v>
      </c>
      <c r="AA23" s="60"/>
      <c r="AB23" s="60"/>
      <c r="AC23" s="60"/>
      <c r="AD23" s="60"/>
      <c r="AE23" s="60"/>
      <c r="AF23" s="60"/>
      <c r="AG23" s="60"/>
      <c r="AH23" s="60"/>
      <c r="AI23" s="60"/>
    </row>
    <row r="24" spans="1:35" s="6" customFormat="1" ht="18" x14ac:dyDescent="0.2">
      <c r="A24" s="40"/>
      <c r="B24" s="31"/>
      <c r="C24" s="41"/>
      <c r="D24" s="52"/>
      <c r="E24" s="52"/>
      <c r="F24" s="49"/>
      <c r="G24" s="49"/>
      <c r="H24" s="54"/>
      <c r="I24" s="55"/>
      <c r="J24" s="43"/>
      <c r="K24" s="45"/>
      <c r="L24" s="34">
        <f>(Table210[[#This Row],[Unit cost]]*Table311[[#This Row],[FX]])+Table210[[#This Row],[Unit cost]]</f>
        <v>0</v>
      </c>
      <c r="M24" s="36">
        <f>'H.W&amp;S.W&amp;Services'!$I24*Table2[[#This Row],[Unit cost FX]]</f>
        <v>0</v>
      </c>
      <c r="N24" s="45"/>
      <c r="O24" s="37">
        <f>(Table2[[#This Row],[Unit cost FX]]*Table3[[#This Row],[%]])+Table2[[#This Row],[Unit cost FX]]</f>
        <v>0</v>
      </c>
      <c r="P24" s="44">
        <f>'H.W&amp;S.W&amp;Services'!$O24*'H.W&amp;S.W&amp;Services'!$I24</f>
        <v>0</v>
      </c>
      <c r="T24" s="60"/>
      <c r="U24" s="60"/>
      <c r="V24" s="60"/>
      <c r="W24" s="60"/>
      <c r="X24" s="60"/>
      <c r="Y24" s="60"/>
      <c r="Z24" s="63" t="s">
        <v>76</v>
      </c>
      <c r="AA24" s="60"/>
      <c r="AB24" s="60"/>
      <c r="AC24" s="60"/>
      <c r="AD24" s="60"/>
      <c r="AE24" s="60"/>
      <c r="AF24" s="60"/>
      <c r="AG24" s="60"/>
      <c r="AH24" s="60"/>
      <c r="AI24" s="60"/>
    </row>
    <row r="25" spans="1:35" s="6" customFormat="1" ht="18" x14ac:dyDescent="0.2">
      <c r="A25" s="40"/>
      <c r="B25" s="31"/>
      <c r="C25" s="41"/>
      <c r="D25" s="52"/>
      <c r="E25" s="52"/>
      <c r="F25" s="49"/>
      <c r="G25" s="49"/>
      <c r="H25" s="54"/>
      <c r="I25" s="55"/>
      <c r="J25" s="43"/>
      <c r="K25" s="45"/>
      <c r="L25" s="34">
        <f>(Table210[[#This Row],[Unit cost]]*Table311[[#This Row],[FX]])+Table210[[#This Row],[Unit cost]]</f>
        <v>0</v>
      </c>
      <c r="M25" s="36">
        <f>'H.W&amp;S.W&amp;Services'!$I25*Table2[[#This Row],[Unit cost FX]]</f>
        <v>0</v>
      </c>
      <c r="N25" s="45"/>
      <c r="O25" s="37">
        <f>(Table2[[#This Row],[Unit cost FX]]*Table3[[#This Row],[%]])+Table2[[#This Row],[Unit cost FX]]</f>
        <v>0</v>
      </c>
      <c r="P25" s="44">
        <f>'H.W&amp;S.W&amp;Services'!$O25*'H.W&amp;S.W&amp;Services'!$I25</f>
        <v>0</v>
      </c>
      <c r="Y25" s="60"/>
      <c r="Z25" s="63" t="s">
        <v>77</v>
      </c>
      <c r="AA25" s="60"/>
      <c r="AB25" s="60"/>
      <c r="AC25" s="60"/>
      <c r="AD25" s="60"/>
      <c r="AE25" s="60"/>
      <c r="AF25" s="60"/>
      <c r="AG25" s="60"/>
      <c r="AH25" s="60"/>
      <c r="AI25" s="60"/>
    </row>
    <row r="26" spans="1:35" s="6" customFormat="1" ht="18" x14ac:dyDescent="0.2">
      <c r="A26" s="40"/>
      <c r="B26" s="31"/>
      <c r="C26" s="41"/>
      <c r="D26" s="52"/>
      <c r="E26" s="52"/>
      <c r="F26" s="49"/>
      <c r="G26" s="49"/>
      <c r="H26" s="54"/>
      <c r="I26" s="55"/>
      <c r="J26" s="43"/>
      <c r="K26" s="45"/>
      <c r="L26" s="34">
        <f>(Table210[[#This Row],[Unit cost]]*Table311[[#This Row],[FX]])+Table210[[#This Row],[Unit cost]]</f>
        <v>0</v>
      </c>
      <c r="M26" s="36">
        <f>'H.W&amp;S.W&amp;Services'!$I26*Table2[[#This Row],[Unit cost FX]]</f>
        <v>0</v>
      </c>
      <c r="N26" s="45"/>
      <c r="O26" s="37">
        <f>(Table2[[#This Row],[Unit cost FX]]*Table3[[#This Row],[%]])+Table2[[#This Row],[Unit cost FX]]</f>
        <v>0</v>
      </c>
      <c r="P26" s="44">
        <f>'H.W&amp;S.W&amp;Services'!$O26*'H.W&amp;S.W&amp;Services'!$I26</f>
        <v>0</v>
      </c>
      <c r="Y26" s="60"/>
      <c r="Z26" s="64" t="s">
        <v>78</v>
      </c>
      <c r="AA26" s="60"/>
      <c r="AB26" s="60"/>
      <c r="AC26" s="60"/>
      <c r="AD26" s="60"/>
      <c r="AE26" s="60"/>
      <c r="AF26" s="60"/>
      <c r="AG26" s="60"/>
      <c r="AH26" s="60"/>
      <c r="AI26" s="60"/>
    </row>
    <row r="27" spans="1:35" s="6" customFormat="1" ht="18" x14ac:dyDescent="0.2">
      <c r="A27" s="40"/>
      <c r="B27" s="31"/>
      <c r="C27" s="41"/>
      <c r="D27" s="52"/>
      <c r="E27" s="52"/>
      <c r="F27" s="49"/>
      <c r="G27" s="49"/>
      <c r="H27" s="54"/>
      <c r="I27" s="55"/>
      <c r="J27" s="43"/>
      <c r="K27" s="45"/>
      <c r="L27" s="34">
        <f>(Table210[[#This Row],[Unit cost]]*Table311[[#This Row],[FX]])+Table210[[#This Row],[Unit cost]]</f>
        <v>0</v>
      </c>
      <c r="M27" s="36">
        <f>'H.W&amp;S.W&amp;Services'!$I27*Table2[[#This Row],[Unit cost FX]]</f>
        <v>0</v>
      </c>
      <c r="N27" s="45"/>
      <c r="O27" s="37">
        <f>(Table2[[#This Row],[Unit cost FX]]*Table3[[#This Row],[%]])+Table2[[#This Row],[Unit cost FX]]</f>
        <v>0</v>
      </c>
      <c r="P27" s="44">
        <f>'H.W&amp;S.W&amp;Services'!$O27*'H.W&amp;S.W&amp;Services'!$I27</f>
        <v>0</v>
      </c>
      <c r="Y27" s="60"/>
      <c r="Z27" s="64" t="s">
        <v>79</v>
      </c>
      <c r="AA27" s="60"/>
      <c r="AB27" s="60"/>
      <c r="AC27" s="60"/>
      <c r="AD27" s="60"/>
      <c r="AE27" s="60"/>
      <c r="AF27" s="60"/>
      <c r="AG27" s="60"/>
      <c r="AH27" s="60"/>
      <c r="AI27" s="60"/>
    </row>
    <row r="28" spans="1:35" s="6" customFormat="1" ht="18" x14ac:dyDescent="0.2">
      <c r="A28" s="40"/>
      <c r="B28" s="31"/>
      <c r="C28" s="41"/>
      <c r="D28" s="52"/>
      <c r="E28" s="52"/>
      <c r="F28" s="49"/>
      <c r="G28" s="49"/>
      <c r="H28" s="41"/>
      <c r="I28" s="42"/>
      <c r="J28" s="43"/>
      <c r="K28" s="45"/>
      <c r="L28" s="34">
        <f>(Table210[[#This Row],[Unit cost]]*Table311[[#This Row],[FX]])+Table210[[#This Row],[Unit cost]]</f>
        <v>0</v>
      </c>
      <c r="M28" s="36">
        <f>'H.W&amp;S.W&amp;Services'!$I28*Table2[[#This Row],[Unit cost FX]]</f>
        <v>0</v>
      </c>
      <c r="N28" s="45"/>
      <c r="O28" s="37">
        <f>(Table2[[#This Row],[Unit cost FX]]*Table3[[#This Row],[%]])+Table2[[#This Row],[Unit cost FX]]</f>
        <v>0</v>
      </c>
      <c r="P28" s="44">
        <f>'H.W&amp;S.W&amp;Services'!$O28*'H.W&amp;S.W&amp;Services'!$I28</f>
        <v>0</v>
      </c>
      <c r="Y28" s="60"/>
      <c r="Z28" s="64" t="s">
        <v>80</v>
      </c>
      <c r="AA28" s="60"/>
      <c r="AB28" s="60"/>
      <c r="AC28" s="60"/>
      <c r="AD28" s="60"/>
      <c r="AE28" s="60"/>
      <c r="AF28" s="60"/>
      <c r="AG28" s="60"/>
      <c r="AH28" s="60"/>
      <c r="AI28" s="60"/>
    </row>
    <row r="29" spans="1:35" s="6" customFormat="1" ht="65.25" customHeight="1" x14ac:dyDescent="0.2">
      <c r="A29" s="40"/>
      <c r="B29" s="31"/>
      <c r="C29" s="41"/>
      <c r="D29" s="52"/>
      <c r="E29" s="52"/>
      <c r="F29" s="49"/>
      <c r="G29" s="49"/>
      <c r="H29" s="56"/>
      <c r="I29" s="58"/>
      <c r="J29" s="43"/>
      <c r="K29" s="45"/>
      <c r="L29" s="34">
        <f>(Table210[[#This Row],[Unit cost]]*Table311[[#This Row],[FX]])+Table210[[#This Row],[Unit cost]]</f>
        <v>0</v>
      </c>
      <c r="M29" s="36">
        <f>'H.W&amp;S.W&amp;Services'!$I29*Table2[[#This Row],[Unit cost FX]]</f>
        <v>0</v>
      </c>
      <c r="N29" s="45"/>
      <c r="O29" s="37">
        <f>(Table2[[#This Row],[Unit cost FX]]*Table3[[#This Row],[%]])+Table2[[#This Row],[Unit cost FX]]</f>
        <v>0</v>
      </c>
      <c r="P29" s="44">
        <f>'H.W&amp;S.W&amp;Services'!$O29*'H.W&amp;S.W&amp;Services'!$I29</f>
        <v>0</v>
      </c>
      <c r="Y29" s="60"/>
      <c r="Z29" s="65" t="s">
        <v>81</v>
      </c>
      <c r="AA29" s="60"/>
      <c r="AB29" s="60"/>
      <c r="AC29" s="60"/>
      <c r="AD29" s="60"/>
      <c r="AE29" s="60"/>
      <c r="AF29" s="60"/>
      <c r="AG29" s="60"/>
      <c r="AH29" s="60"/>
      <c r="AI29" s="60"/>
    </row>
    <row r="30" spans="1:35" s="6" customFormat="1" ht="63.75" customHeight="1" x14ac:dyDescent="0.2">
      <c r="A30" s="40"/>
      <c r="B30" s="31"/>
      <c r="C30" s="41"/>
      <c r="D30" s="52"/>
      <c r="E30" s="52"/>
      <c r="F30" s="49"/>
      <c r="G30" s="49"/>
      <c r="H30" s="56"/>
      <c r="I30" s="55"/>
      <c r="J30" s="43"/>
      <c r="K30" s="45"/>
      <c r="L30" s="34">
        <f>(Table210[[#This Row],[Unit cost]]*Table311[[#This Row],[FX]])+Table210[[#This Row],[Unit cost]]</f>
        <v>0</v>
      </c>
      <c r="M30" s="44">
        <f>'H.W&amp;S.W&amp;Services'!$I30*Table2[[#This Row],[Unit cost FX]]</f>
        <v>0</v>
      </c>
      <c r="N30" s="45"/>
      <c r="O30" s="37">
        <f>(Table2[[#This Row],[Unit cost FX]]*Table3[[#This Row],[%]])+Table2[[#This Row],[Unit cost FX]]</f>
        <v>0</v>
      </c>
      <c r="P30" s="44">
        <f>'H.W&amp;S.W&amp;Services'!$O30*'H.W&amp;S.W&amp;Services'!$I30</f>
        <v>0</v>
      </c>
      <c r="Y30" s="60"/>
      <c r="Z30" s="63" t="s">
        <v>82</v>
      </c>
      <c r="AA30" s="60"/>
      <c r="AB30" s="60"/>
      <c r="AC30" s="60"/>
      <c r="AD30" s="60"/>
      <c r="AE30" s="60"/>
      <c r="AF30" s="60"/>
      <c r="AG30" s="60"/>
      <c r="AH30" s="60"/>
      <c r="AI30" s="60"/>
    </row>
    <row r="31" spans="1:35" s="6" customFormat="1" ht="18" x14ac:dyDescent="0.2">
      <c r="A31" s="40"/>
      <c r="B31" s="31"/>
      <c r="C31" s="41"/>
      <c r="D31" s="52"/>
      <c r="E31" s="52"/>
      <c r="F31" s="49"/>
      <c r="G31" s="49"/>
      <c r="H31" s="57"/>
      <c r="I31" s="55"/>
      <c r="J31" s="43"/>
      <c r="K31" s="45"/>
      <c r="L31" s="34">
        <f>(Table210[[#This Row],[Unit cost]]*Table311[[#This Row],[FX]])+Table210[[#This Row],[Unit cost]]</f>
        <v>0</v>
      </c>
      <c r="M31" s="44">
        <f>'H.W&amp;S.W&amp;Services'!$I31*Table2[[#This Row],[Unit cost FX]]</f>
        <v>0</v>
      </c>
      <c r="N31" s="45"/>
      <c r="O31" s="37">
        <f>(Table2[[#This Row],[Unit cost FX]]*Table3[[#This Row],[%]])+Table2[[#This Row],[Unit cost FX]]</f>
        <v>0</v>
      </c>
      <c r="P31" s="44">
        <f>'H.W&amp;S.W&amp;Services'!$O31*'H.W&amp;S.W&amp;Services'!$I31</f>
        <v>0</v>
      </c>
      <c r="Y31" s="60"/>
      <c r="Z31" s="63" t="s">
        <v>83</v>
      </c>
      <c r="AA31" s="60"/>
      <c r="AB31" s="60"/>
      <c r="AC31" s="60"/>
      <c r="AD31" s="60"/>
      <c r="AE31" s="60"/>
      <c r="AF31" s="60"/>
      <c r="AG31" s="60"/>
      <c r="AH31" s="60"/>
      <c r="AI31" s="60"/>
    </row>
    <row r="32" spans="1:35" s="6" customFormat="1" ht="18" x14ac:dyDescent="0.2">
      <c r="A32" s="40"/>
      <c r="B32" s="31"/>
      <c r="C32" s="41"/>
      <c r="D32" s="52"/>
      <c r="E32" s="52"/>
      <c r="F32" s="49"/>
      <c r="G32" s="49"/>
      <c r="H32" s="54"/>
      <c r="I32" s="55"/>
      <c r="J32" s="43"/>
      <c r="K32" s="45"/>
      <c r="L32" s="34">
        <f>(Table210[[#This Row],[Unit cost]]*Table311[[#This Row],[FX]])+Table210[[#This Row],[Unit cost]]</f>
        <v>0</v>
      </c>
      <c r="M32" s="44">
        <f>'H.W&amp;S.W&amp;Services'!$I32*Table2[[#This Row],[Unit cost FX]]</f>
        <v>0</v>
      </c>
      <c r="N32" s="45"/>
      <c r="O32" s="37">
        <f>(Table2[[#This Row],[Unit cost FX]]*Table3[[#This Row],[%]])+Table2[[#This Row],[Unit cost FX]]</f>
        <v>0</v>
      </c>
      <c r="P32" s="44">
        <f>'H.W&amp;S.W&amp;Services'!$O32*'H.W&amp;S.W&amp;Services'!$I32</f>
        <v>0</v>
      </c>
      <c r="Y32" s="60"/>
      <c r="Z32" s="63" t="s">
        <v>84</v>
      </c>
      <c r="AA32" s="60"/>
      <c r="AB32" s="60"/>
      <c r="AC32" s="60"/>
      <c r="AD32" s="60"/>
      <c r="AE32" s="60"/>
      <c r="AF32" s="60"/>
      <c r="AG32" s="60"/>
      <c r="AH32" s="60"/>
      <c r="AI32" s="60"/>
    </row>
    <row r="33" spans="1:35" s="6" customFormat="1" ht="18" x14ac:dyDescent="0.2">
      <c r="A33" s="40"/>
      <c r="B33" s="31"/>
      <c r="C33" s="41"/>
      <c r="D33" s="52"/>
      <c r="E33" s="52"/>
      <c r="F33" s="49"/>
      <c r="G33" s="49"/>
      <c r="H33" s="54"/>
      <c r="I33" s="55"/>
      <c r="J33" s="43"/>
      <c r="K33" s="45"/>
      <c r="L33" s="34">
        <f>(Table210[[#This Row],[Unit cost]]*Table311[[#This Row],[FX]])+Table210[[#This Row],[Unit cost]]</f>
        <v>0</v>
      </c>
      <c r="M33" s="44">
        <f>'H.W&amp;S.W&amp;Services'!$I33*Table2[[#This Row],[Unit cost FX]]</f>
        <v>0</v>
      </c>
      <c r="N33" s="45"/>
      <c r="O33" s="37">
        <f>(Table2[[#This Row],[Unit cost FX]]*Table3[[#This Row],[%]])+Table2[[#This Row],[Unit cost FX]]</f>
        <v>0</v>
      </c>
      <c r="P33" s="44">
        <f>'H.W&amp;S.W&amp;Services'!$O33*'H.W&amp;S.W&amp;Services'!$I33</f>
        <v>0</v>
      </c>
      <c r="Y33" s="60"/>
      <c r="Z33" s="63" t="s">
        <v>85</v>
      </c>
      <c r="AA33" s="60"/>
      <c r="AB33" s="60"/>
      <c r="AC33" s="60"/>
      <c r="AD33" s="60"/>
      <c r="AE33" s="60"/>
      <c r="AF33" s="60"/>
      <c r="AG33" s="60"/>
      <c r="AH33" s="60"/>
      <c r="AI33" s="60"/>
    </row>
    <row r="34" spans="1:35" s="6" customFormat="1" ht="18" x14ac:dyDescent="0.2">
      <c r="A34" s="40"/>
      <c r="B34" s="31"/>
      <c r="C34" s="41"/>
      <c r="D34" s="52"/>
      <c r="E34" s="52"/>
      <c r="F34" s="49"/>
      <c r="G34" s="49"/>
      <c r="H34" s="54"/>
      <c r="I34" s="55"/>
      <c r="J34" s="43"/>
      <c r="K34" s="45"/>
      <c r="L34" s="34">
        <f>(Table210[[#This Row],[Unit cost]]*Table311[[#This Row],[FX]])+Table210[[#This Row],[Unit cost]]</f>
        <v>0</v>
      </c>
      <c r="M34" s="44">
        <f>'H.W&amp;S.W&amp;Services'!$I34*Table2[[#This Row],[Unit cost FX]]</f>
        <v>0</v>
      </c>
      <c r="N34" s="45"/>
      <c r="O34" s="37">
        <f>(Table2[[#This Row],[Unit cost FX]]*Table3[[#This Row],[%]])+Table2[[#This Row],[Unit cost FX]]</f>
        <v>0</v>
      </c>
      <c r="P34" s="44">
        <f>'H.W&amp;S.W&amp;Services'!$O34*'H.W&amp;S.W&amp;Services'!$I34</f>
        <v>0</v>
      </c>
      <c r="Y34" s="60"/>
      <c r="Z34" s="64"/>
      <c r="AA34" s="60"/>
      <c r="AB34" s="60"/>
      <c r="AC34" s="60"/>
      <c r="AD34" s="60"/>
      <c r="AE34" s="60"/>
      <c r="AF34" s="60"/>
      <c r="AG34" s="60"/>
      <c r="AH34" s="60"/>
      <c r="AI34" s="60"/>
    </row>
    <row r="35" spans="1:35" s="6" customFormat="1" ht="18" x14ac:dyDescent="0.2">
      <c r="A35" s="40"/>
      <c r="B35" s="31"/>
      <c r="C35" s="41"/>
      <c r="D35" s="52"/>
      <c r="E35" s="52"/>
      <c r="F35" s="49"/>
      <c r="G35" s="49"/>
      <c r="H35" s="54"/>
      <c r="I35" s="55"/>
      <c r="J35" s="43"/>
      <c r="K35" s="45"/>
      <c r="L35" s="34">
        <f>(Table210[[#This Row],[Unit cost]]*Table311[[#This Row],[FX]])+Table210[[#This Row],[Unit cost]]</f>
        <v>0</v>
      </c>
      <c r="M35" s="44">
        <f>'H.W&amp;S.W&amp;Services'!$I35*Table2[[#This Row],[Unit cost FX]]</f>
        <v>0</v>
      </c>
      <c r="N35" s="45"/>
      <c r="O35" s="37">
        <f>(Table2[[#This Row],[Unit cost FX]]*Table3[[#This Row],[%]])+Table2[[#This Row],[Unit cost FX]]</f>
        <v>0</v>
      </c>
      <c r="P35" s="44">
        <f>'H.W&amp;S.W&amp;Services'!$O35*'H.W&amp;S.W&amp;Services'!$I35</f>
        <v>0</v>
      </c>
      <c r="Y35" s="60"/>
      <c r="Z35" s="64"/>
      <c r="AA35" s="60"/>
      <c r="AB35" s="60"/>
      <c r="AC35" s="60"/>
      <c r="AD35" s="60"/>
      <c r="AE35" s="60"/>
      <c r="AF35" s="60"/>
      <c r="AG35" s="60"/>
      <c r="AH35" s="60"/>
      <c r="AI35" s="60"/>
    </row>
    <row r="36" spans="1:35" s="6" customFormat="1" ht="18" x14ac:dyDescent="0.2">
      <c r="A36" s="40"/>
      <c r="B36" s="31"/>
      <c r="C36" s="41"/>
      <c r="D36" s="52"/>
      <c r="E36" s="52"/>
      <c r="F36" s="49"/>
      <c r="G36" s="49"/>
      <c r="H36" s="54"/>
      <c r="I36" s="55"/>
      <c r="J36" s="43"/>
      <c r="K36" s="45"/>
      <c r="L36" s="34">
        <f>(Table210[[#This Row],[Unit cost]]*Table311[[#This Row],[FX]])+Table210[[#This Row],[Unit cost]]</f>
        <v>0</v>
      </c>
      <c r="M36" s="44">
        <f>'H.W&amp;S.W&amp;Services'!$I36*Table2[[#This Row],[Unit cost FX]]</f>
        <v>0</v>
      </c>
      <c r="N36" s="45"/>
      <c r="O36" s="37">
        <f>(Table2[[#This Row],[Unit cost FX]]*Table3[[#This Row],[%]])+Table2[[#This Row],[Unit cost FX]]</f>
        <v>0</v>
      </c>
      <c r="P36" s="44">
        <f>'H.W&amp;S.W&amp;Services'!$O36*'H.W&amp;S.W&amp;Services'!$I36</f>
        <v>0</v>
      </c>
      <c r="Y36" s="60"/>
      <c r="Z36" s="64"/>
      <c r="AA36" s="60"/>
      <c r="AB36" s="60"/>
      <c r="AC36" s="60"/>
      <c r="AD36" s="60"/>
      <c r="AE36" s="60"/>
      <c r="AF36" s="60"/>
      <c r="AG36" s="60"/>
      <c r="AH36" s="60"/>
      <c r="AI36" s="60"/>
    </row>
    <row r="37" spans="1:35" s="6" customFormat="1" ht="18" x14ac:dyDescent="0.2">
      <c r="A37" s="40"/>
      <c r="B37" s="31"/>
      <c r="C37" s="41"/>
      <c r="D37" s="52"/>
      <c r="E37" s="52"/>
      <c r="F37" s="49"/>
      <c r="G37" s="49"/>
      <c r="H37" s="54"/>
      <c r="I37" s="55"/>
      <c r="J37" s="43"/>
      <c r="K37" s="45"/>
      <c r="L37" s="34">
        <f>(Table210[[#This Row],[Unit cost]]*Table311[[#This Row],[FX]])+Table210[[#This Row],[Unit cost]]</f>
        <v>0</v>
      </c>
      <c r="M37" s="44">
        <f>'H.W&amp;S.W&amp;Services'!$I37*Table2[[#This Row],[Unit cost FX]]</f>
        <v>0</v>
      </c>
      <c r="N37" s="45"/>
      <c r="O37" s="37">
        <f>(Table2[[#This Row],[Unit cost FX]]*Table3[[#This Row],[%]])+Table2[[#This Row],[Unit cost FX]]</f>
        <v>0</v>
      </c>
      <c r="P37" s="44">
        <f>'H.W&amp;S.W&amp;Services'!$O37*'H.W&amp;S.W&amp;Services'!$I37</f>
        <v>0</v>
      </c>
      <c r="Y37" s="60"/>
      <c r="Z37" s="64"/>
      <c r="AA37" s="60"/>
      <c r="AB37" s="60"/>
      <c r="AC37" s="60"/>
      <c r="AD37" s="60"/>
      <c r="AE37" s="60"/>
      <c r="AF37" s="60"/>
      <c r="AG37" s="60"/>
      <c r="AH37" s="60"/>
      <c r="AI37" s="60"/>
    </row>
    <row r="38" spans="1:35" s="6" customFormat="1" ht="18" x14ac:dyDescent="0.2">
      <c r="A38" s="40"/>
      <c r="B38" s="31"/>
      <c r="C38" s="41"/>
      <c r="D38" s="52"/>
      <c r="E38" s="52"/>
      <c r="F38" s="49"/>
      <c r="G38" s="49"/>
      <c r="H38" s="54"/>
      <c r="I38" s="55"/>
      <c r="J38" s="43"/>
      <c r="K38" s="45"/>
      <c r="L38" s="34">
        <f>(Table210[[#This Row],[Unit cost]]*Table311[[#This Row],[FX]])+Table210[[#This Row],[Unit cost]]</f>
        <v>0</v>
      </c>
      <c r="M38" s="44">
        <f>'H.W&amp;S.W&amp;Services'!$I38*Table2[[#This Row],[Unit cost FX]]</f>
        <v>0</v>
      </c>
      <c r="N38" s="45"/>
      <c r="O38" s="37">
        <f>(Table2[[#This Row],[Unit cost FX]]*Table3[[#This Row],[%]])+Table2[[#This Row],[Unit cost FX]]</f>
        <v>0</v>
      </c>
      <c r="P38" s="44">
        <f>'H.W&amp;S.W&amp;Services'!$O38*'H.W&amp;S.W&amp;Services'!$I38</f>
        <v>0</v>
      </c>
      <c r="Y38" s="60"/>
      <c r="Z38" s="64"/>
      <c r="AA38" s="60"/>
      <c r="AB38" s="60"/>
      <c r="AC38" s="60"/>
      <c r="AD38" s="60"/>
      <c r="AE38" s="60"/>
      <c r="AF38" s="60"/>
      <c r="AG38" s="60"/>
      <c r="AH38" s="60"/>
      <c r="AI38" s="60"/>
    </row>
    <row r="39" spans="1:35" s="6" customFormat="1" ht="18" x14ac:dyDescent="0.2">
      <c r="A39" s="40"/>
      <c r="B39" s="31"/>
      <c r="C39" s="41"/>
      <c r="D39" s="52"/>
      <c r="E39" s="52"/>
      <c r="F39" s="49"/>
      <c r="G39" s="49"/>
      <c r="H39" s="54"/>
      <c r="I39" s="55"/>
      <c r="J39" s="43"/>
      <c r="K39" s="45"/>
      <c r="L39" s="34">
        <f>(Table210[[#This Row],[Unit cost]]*Table311[[#This Row],[FX]])+Table210[[#This Row],[Unit cost]]</f>
        <v>0</v>
      </c>
      <c r="M39" s="44">
        <f>'H.W&amp;S.W&amp;Services'!$I39*Table2[[#This Row],[Unit cost FX]]</f>
        <v>0</v>
      </c>
      <c r="N39" s="45"/>
      <c r="O39" s="37">
        <f>(Table2[[#This Row],[Unit cost FX]]*Table3[[#This Row],[%]])+Table2[[#This Row],[Unit cost FX]]</f>
        <v>0</v>
      </c>
      <c r="P39" s="44">
        <f>'H.W&amp;S.W&amp;Services'!$O39*'H.W&amp;S.W&amp;Services'!$I39</f>
        <v>0</v>
      </c>
      <c r="Y39" s="60"/>
      <c r="Z39" s="64"/>
      <c r="AA39" s="60"/>
      <c r="AB39" s="60"/>
      <c r="AC39" s="60"/>
      <c r="AD39" s="60"/>
      <c r="AE39" s="60"/>
      <c r="AF39" s="60"/>
      <c r="AG39" s="60"/>
      <c r="AH39" s="60"/>
      <c r="AI39" s="60"/>
    </row>
    <row r="40" spans="1:35" s="6" customFormat="1" ht="18" x14ac:dyDescent="0.2">
      <c r="A40" s="40"/>
      <c r="B40" s="31"/>
      <c r="C40" s="41"/>
      <c r="D40" s="52"/>
      <c r="E40" s="52"/>
      <c r="F40" s="49"/>
      <c r="G40" s="50"/>
      <c r="H40" s="54"/>
      <c r="I40" s="55"/>
      <c r="J40" s="43"/>
      <c r="K40" s="45"/>
      <c r="L40" s="34">
        <f>(Table210[[#This Row],[Unit cost]]*Table311[[#This Row],[FX]])+Table210[[#This Row],[Unit cost]]</f>
        <v>0</v>
      </c>
      <c r="M40" s="44">
        <f>'H.W&amp;S.W&amp;Services'!$I40*Table2[[#This Row],[Unit cost FX]]</f>
        <v>0</v>
      </c>
      <c r="N40" s="45"/>
      <c r="O40" s="37">
        <f>(Table2[[#This Row],[Unit cost FX]]*Table3[[#This Row],[%]])+Table2[[#This Row],[Unit cost FX]]</f>
        <v>0</v>
      </c>
      <c r="P40" s="44">
        <f>'H.W&amp;S.W&amp;Services'!$O40*'H.W&amp;S.W&amp;Services'!$I40</f>
        <v>0</v>
      </c>
      <c r="Y40" s="60"/>
      <c r="Z40" s="64"/>
      <c r="AA40" s="60"/>
      <c r="AB40" s="60"/>
      <c r="AC40" s="60"/>
      <c r="AD40" s="60"/>
      <c r="AE40" s="60"/>
      <c r="AF40" s="60"/>
      <c r="AG40" s="60"/>
      <c r="AH40" s="60"/>
      <c r="AI40" s="60"/>
    </row>
    <row r="41" spans="1:35" s="6" customFormat="1" ht="18" x14ac:dyDescent="0.2">
      <c r="A41" s="40"/>
      <c r="B41" s="31"/>
      <c r="C41" s="41"/>
      <c r="D41" s="52"/>
      <c r="E41" s="52"/>
      <c r="F41" s="49"/>
      <c r="G41" s="50"/>
      <c r="H41" s="41"/>
      <c r="I41" s="42"/>
      <c r="J41" s="43"/>
      <c r="K41" s="45"/>
      <c r="L41" s="34">
        <f>(Table210[[#This Row],[Unit cost]]*Table311[[#This Row],[FX]])+Table210[[#This Row],[Unit cost]]</f>
        <v>0</v>
      </c>
      <c r="M41" s="44">
        <f>'H.W&amp;S.W&amp;Services'!$I41*Table2[[#This Row],[Unit cost FX]]</f>
        <v>0</v>
      </c>
      <c r="N41" s="45"/>
      <c r="O41" s="37">
        <f>(Table2[[#This Row],[Unit cost FX]]*Table3[[#This Row],[%]])+Table2[[#This Row],[Unit cost FX]]</f>
        <v>0</v>
      </c>
      <c r="P41" s="44">
        <f>'H.W&amp;S.W&amp;Services'!$O41*'H.W&amp;S.W&amp;Services'!$I41</f>
        <v>0</v>
      </c>
      <c r="Y41" s="60"/>
      <c r="Z41" s="64"/>
      <c r="AA41" s="60"/>
      <c r="AB41" s="60"/>
      <c r="AC41" s="60"/>
      <c r="AD41" s="60"/>
      <c r="AE41" s="60"/>
      <c r="AF41" s="60"/>
      <c r="AG41" s="60"/>
      <c r="AH41" s="60"/>
      <c r="AI41" s="60"/>
    </row>
    <row r="42" spans="1:35" s="6" customFormat="1" ht="48.75" customHeight="1" x14ac:dyDescent="0.2">
      <c r="A42" s="40"/>
      <c r="B42" s="31"/>
      <c r="C42" s="41"/>
      <c r="D42" s="52"/>
      <c r="E42" s="52"/>
      <c r="F42" s="49"/>
      <c r="G42" s="49"/>
      <c r="H42" s="53"/>
      <c r="I42" s="55"/>
      <c r="J42" s="43"/>
      <c r="K42" s="45"/>
      <c r="L42" s="34">
        <f>(Table210[[#This Row],[Unit cost]]*Table311[[#This Row],[FX]])+Table210[[#This Row],[Unit cost]]</f>
        <v>0</v>
      </c>
      <c r="M42" s="44">
        <f>'H.W&amp;S.W&amp;Services'!$I42*Table2[[#This Row],[Unit cost FX]]</f>
        <v>0</v>
      </c>
      <c r="N42" s="45"/>
      <c r="O42" s="37">
        <f>(Table2[[#This Row],[Unit cost FX]]*Table3[[#This Row],[%]])+Table2[[#This Row],[Unit cost FX]]</f>
        <v>0</v>
      </c>
      <c r="P42" s="44">
        <f>'H.W&amp;S.W&amp;Services'!$O42*'H.W&amp;S.W&amp;Services'!$I42</f>
        <v>0</v>
      </c>
      <c r="Y42" s="60"/>
      <c r="Z42" s="64"/>
      <c r="AA42" s="60"/>
      <c r="AB42" s="60"/>
      <c r="AC42" s="60"/>
      <c r="AD42" s="60"/>
      <c r="AE42" s="60"/>
      <c r="AF42" s="60"/>
      <c r="AG42" s="60"/>
      <c r="AH42" s="60"/>
      <c r="AI42" s="60"/>
    </row>
    <row r="43" spans="1:35" s="6" customFormat="1" ht="18" x14ac:dyDescent="0.2">
      <c r="A43" s="40"/>
      <c r="B43" s="31"/>
      <c r="C43" s="41"/>
      <c r="D43" s="52"/>
      <c r="E43" s="52"/>
      <c r="F43" s="49"/>
      <c r="G43" s="50"/>
      <c r="H43" s="54"/>
      <c r="I43" s="55"/>
      <c r="J43" s="43"/>
      <c r="K43" s="45"/>
      <c r="L43" s="34">
        <f>(Table210[[#This Row],[Unit cost]]*Table311[[#This Row],[FX]])+Table210[[#This Row],[Unit cost]]</f>
        <v>0</v>
      </c>
      <c r="M43" s="44">
        <f>'H.W&amp;S.W&amp;Services'!$I43*Table2[[#This Row],[Unit cost FX]]</f>
        <v>0</v>
      </c>
      <c r="N43" s="45"/>
      <c r="O43" s="37">
        <f>(Table2[[#This Row],[Unit cost FX]]*Table3[[#This Row],[%]])+Table2[[#This Row],[Unit cost FX]]</f>
        <v>0</v>
      </c>
      <c r="P43" s="44">
        <f>'H.W&amp;S.W&amp;Services'!$O43*'H.W&amp;S.W&amp;Services'!$I43</f>
        <v>0</v>
      </c>
      <c r="Y43" s="60"/>
      <c r="Z43" s="64"/>
      <c r="AA43" s="60"/>
      <c r="AB43" s="60"/>
      <c r="AC43" s="60"/>
      <c r="AD43" s="60"/>
      <c r="AE43" s="60"/>
      <c r="AF43" s="60"/>
      <c r="AG43" s="60"/>
      <c r="AH43" s="60"/>
      <c r="AI43" s="60"/>
    </row>
    <row r="44" spans="1:35" s="6" customFormat="1" ht="18" x14ac:dyDescent="0.2">
      <c r="A44" s="40"/>
      <c r="B44" s="31"/>
      <c r="C44" s="41"/>
      <c r="D44" s="52"/>
      <c r="E44" s="52"/>
      <c r="F44" s="49"/>
      <c r="G44" s="50"/>
      <c r="H44" s="54"/>
      <c r="I44" s="55"/>
      <c r="J44" s="43"/>
      <c r="K44" s="45"/>
      <c r="L44" s="34">
        <f>(Table210[[#This Row],[Unit cost]]*Table311[[#This Row],[FX]])+Table210[[#This Row],[Unit cost]]</f>
        <v>0</v>
      </c>
      <c r="M44" s="44">
        <f>'H.W&amp;S.W&amp;Services'!$I44*Table2[[#This Row],[Unit cost FX]]</f>
        <v>0</v>
      </c>
      <c r="N44" s="45"/>
      <c r="O44" s="37">
        <f>(Table2[[#This Row],[Unit cost FX]]*Table3[[#This Row],[%]])+Table2[[#This Row],[Unit cost FX]]</f>
        <v>0</v>
      </c>
      <c r="P44" s="44">
        <f>'H.W&amp;S.W&amp;Services'!$O44*'H.W&amp;S.W&amp;Services'!$I44</f>
        <v>0</v>
      </c>
      <c r="Y44" s="60"/>
      <c r="Z44" s="64"/>
      <c r="AA44" s="60"/>
      <c r="AB44" s="60"/>
      <c r="AC44" s="60"/>
      <c r="AD44" s="60"/>
      <c r="AE44" s="60"/>
      <c r="AF44" s="60"/>
      <c r="AG44" s="60"/>
      <c r="AH44" s="60"/>
      <c r="AI44" s="60"/>
    </row>
    <row r="45" spans="1:35" s="6" customFormat="1" ht="18" x14ac:dyDescent="0.2">
      <c r="A45" s="40"/>
      <c r="B45" s="31"/>
      <c r="C45" s="41"/>
      <c r="D45" s="52"/>
      <c r="E45" s="52"/>
      <c r="F45" s="49"/>
      <c r="G45" s="50"/>
      <c r="H45" s="54"/>
      <c r="I45" s="55"/>
      <c r="J45" s="43"/>
      <c r="K45" s="45"/>
      <c r="L45" s="34">
        <f>(Table210[[#This Row],[Unit cost]]*Table311[[#This Row],[FX]])+Table210[[#This Row],[Unit cost]]</f>
        <v>0</v>
      </c>
      <c r="M45" s="44">
        <f>'H.W&amp;S.W&amp;Services'!$I45*Table2[[#This Row],[Unit cost FX]]</f>
        <v>0</v>
      </c>
      <c r="N45" s="45"/>
      <c r="O45" s="37">
        <f>(Table2[[#This Row],[Unit cost FX]]*Table3[[#This Row],[%]])+Table2[[#This Row],[Unit cost FX]]</f>
        <v>0</v>
      </c>
      <c r="P45" s="44">
        <f>'H.W&amp;S.W&amp;Services'!$O45*'H.W&amp;S.W&amp;Services'!$I45</f>
        <v>0</v>
      </c>
      <c r="Y45" s="60"/>
      <c r="Z45" s="64"/>
      <c r="AA45" s="60"/>
      <c r="AB45" s="60"/>
      <c r="AC45" s="60"/>
      <c r="AD45" s="60"/>
      <c r="AE45" s="60"/>
      <c r="AF45" s="60"/>
      <c r="AG45" s="60"/>
      <c r="AH45" s="60"/>
      <c r="AI45" s="60"/>
    </row>
    <row r="46" spans="1:35" s="6" customFormat="1" ht="18" x14ac:dyDescent="0.2">
      <c r="A46" s="40"/>
      <c r="B46" s="31"/>
      <c r="C46" s="41"/>
      <c r="D46" s="52"/>
      <c r="E46" s="52"/>
      <c r="F46" s="49"/>
      <c r="G46" s="50"/>
      <c r="H46" s="54"/>
      <c r="I46" s="55"/>
      <c r="J46" s="43"/>
      <c r="K46" s="45"/>
      <c r="L46" s="34">
        <f>(Table210[[#This Row],[Unit cost]]*Table311[[#This Row],[FX]])+Table210[[#This Row],[Unit cost]]</f>
        <v>0</v>
      </c>
      <c r="M46" s="44">
        <f>'H.W&amp;S.W&amp;Services'!$I46*Table2[[#This Row],[Unit cost FX]]</f>
        <v>0</v>
      </c>
      <c r="N46" s="45"/>
      <c r="O46" s="37">
        <f>(Table2[[#This Row],[Unit cost FX]]*Table3[[#This Row],[%]])+Table2[[#This Row],[Unit cost FX]]</f>
        <v>0</v>
      </c>
      <c r="P46" s="44">
        <f>'H.W&amp;S.W&amp;Services'!$O46*'H.W&amp;S.W&amp;Services'!$I46</f>
        <v>0</v>
      </c>
      <c r="Y46" s="60"/>
      <c r="Z46" s="64"/>
      <c r="AA46" s="60"/>
      <c r="AB46" s="60"/>
      <c r="AC46" s="60"/>
      <c r="AD46" s="60"/>
      <c r="AE46" s="60"/>
      <c r="AF46" s="60"/>
      <c r="AG46" s="60"/>
      <c r="AH46" s="60"/>
      <c r="AI46" s="60"/>
    </row>
    <row r="47" spans="1:35" s="6" customFormat="1" ht="18" x14ac:dyDescent="0.2">
      <c r="A47" s="40"/>
      <c r="B47" s="31"/>
      <c r="C47" s="41"/>
      <c r="D47" s="52"/>
      <c r="E47" s="52"/>
      <c r="F47" s="49"/>
      <c r="G47" s="50"/>
      <c r="H47" s="54"/>
      <c r="I47" s="55"/>
      <c r="J47" s="43"/>
      <c r="K47" s="45"/>
      <c r="L47" s="34">
        <f>(Table210[[#This Row],[Unit cost]]*Table311[[#This Row],[FX]])+Table210[[#This Row],[Unit cost]]</f>
        <v>0</v>
      </c>
      <c r="M47" s="44">
        <f>'H.W&amp;S.W&amp;Services'!$I47*Table2[[#This Row],[Unit cost FX]]</f>
        <v>0</v>
      </c>
      <c r="N47" s="45"/>
      <c r="O47" s="37">
        <f>(Table2[[#This Row],[Unit cost FX]]*Table3[[#This Row],[%]])+Table2[[#This Row],[Unit cost FX]]</f>
        <v>0</v>
      </c>
      <c r="P47" s="44">
        <f>'H.W&amp;S.W&amp;Services'!$O47*'H.W&amp;S.W&amp;Services'!$I47</f>
        <v>0</v>
      </c>
      <c r="Y47" s="60"/>
      <c r="Z47" s="64"/>
      <c r="AA47" s="60"/>
      <c r="AB47" s="60"/>
      <c r="AC47" s="60"/>
      <c r="AD47" s="60"/>
      <c r="AE47" s="60"/>
      <c r="AF47" s="60"/>
      <c r="AG47" s="60"/>
      <c r="AH47" s="60"/>
      <c r="AI47" s="60"/>
    </row>
    <row r="48" spans="1:35" s="6" customFormat="1" ht="18" x14ac:dyDescent="0.2">
      <c r="A48" s="40"/>
      <c r="B48" s="31"/>
      <c r="C48" s="41"/>
      <c r="D48" s="52"/>
      <c r="E48" s="52"/>
      <c r="F48" s="49"/>
      <c r="G48" s="50"/>
      <c r="H48" s="54"/>
      <c r="I48" s="55"/>
      <c r="J48" s="43"/>
      <c r="K48" s="45"/>
      <c r="L48" s="34">
        <f>(Table210[[#This Row],[Unit cost]]*Table311[[#This Row],[FX]])+Table210[[#This Row],[Unit cost]]</f>
        <v>0</v>
      </c>
      <c r="M48" s="44">
        <f>'H.W&amp;S.W&amp;Services'!$I48*Table2[[#This Row],[Unit cost FX]]</f>
        <v>0</v>
      </c>
      <c r="N48" s="45"/>
      <c r="O48" s="37">
        <f>(Table2[[#This Row],[Unit cost FX]]*Table3[[#This Row],[%]])+Table2[[#This Row],[Unit cost FX]]</f>
        <v>0</v>
      </c>
      <c r="P48" s="44">
        <f>'H.W&amp;S.W&amp;Services'!$O48*'H.W&amp;S.W&amp;Services'!$I48</f>
        <v>0</v>
      </c>
      <c r="Y48" s="60"/>
      <c r="Z48" s="64"/>
      <c r="AA48" s="60"/>
      <c r="AB48" s="60"/>
      <c r="AC48" s="60"/>
      <c r="AD48" s="60"/>
      <c r="AE48" s="60"/>
      <c r="AF48" s="60"/>
      <c r="AG48" s="60"/>
      <c r="AH48" s="60"/>
      <c r="AI48" s="60"/>
    </row>
    <row r="49" spans="1:35" s="6" customFormat="1" ht="18" x14ac:dyDescent="0.2">
      <c r="A49" s="40"/>
      <c r="B49" s="31"/>
      <c r="C49" s="41"/>
      <c r="D49" s="52"/>
      <c r="E49" s="52"/>
      <c r="F49" s="49"/>
      <c r="G49" s="50"/>
      <c r="H49" s="54"/>
      <c r="I49" s="55"/>
      <c r="J49" s="43"/>
      <c r="K49" s="45"/>
      <c r="L49" s="34">
        <f>(Table210[[#This Row],[Unit cost]]*Table311[[#This Row],[FX]])+Table210[[#This Row],[Unit cost]]</f>
        <v>0</v>
      </c>
      <c r="M49" s="44">
        <f>'H.W&amp;S.W&amp;Services'!$I49*Table2[[#This Row],[Unit cost FX]]</f>
        <v>0</v>
      </c>
      <c r="N49" s="45"/>
      <c r="O49" s="37">
        <f>(Table2[[#This Row],[Unit cost FX]]*Table3[[#This Row],[%]])+Table2[[#This Row],[Unit cost FX]]</f>
        <v>0</v>
      </c>
      <c r="P49" s="44">
        <f>'H.W&amp;S.W&amp;Services'!$O49*'H.W&amp;S.W&amp;Services'!$I49</f>
        <v>0</v>
      </c>
      <c r="Y49" s="60"/>
      <c r="Z49" s="64"/>
      <c r="AA49" s="60"/>
      <c r="AB49" s="60"/>
      <c r="AC49" s="60"/>
      <c r="AD49" s="60"/>
      <c r="AE49" s="60"/>
      <c r="AF49" s="60"/>
      <c r="AG49" s="60"/>
      <c r="AH49" s="60"/>
      <c r="AI49" s="60"/>
    </row>
    <row r="50" spans="1:35" s="6" customFormat="1" ht="18" x14ac:dyDescent="0.2">
      <c r="A50" s="40"/>
      <c r="B50" s="31"/>
      <c r="C50" s="41"/>
      <c r="D50" s="52"/>
      <c r="E50" s="52"/>
      <c r="F50" s="49"/>
      <c r="G50" s="50"/>
      <c r="H50" s="54"/>
      <c r="I50" s="55"/>
      <c r="J50" s="43"/>
      <c r="K50" s="45"/>
      <c r="L50" s="34">
        <f>(Table210[[#This Row],[Unit cost]]*Table311[[#This Row],[FX]])+Table210[[#This Row],[Unit cost]]</f>
        <v>0</v>
      </c>
      <c r="M50" s="44">
        <f>'H.W&amp;S.W&amp;Services'!$I50*Table2[[#This Row],[Unit cost FX]]</f>
        <v>0</v>
      </c>
      <c r="N50" s="45"/>
      <c r="O50" s="37">
        <f>(Table2[[#This Row],[Unit cost FX]]*Table3[[#This Row],[%]])+Table2[[#This Row],[Unit cost FX]]</f>
        <v>0</v>
      </c>
      <c r="P50" s="44">
        <f>'H.W&amp;S.W&amp;Services'!$O50*'H.W&amp;S.W&amp;Services'!$I50</f>
        <v>0</v>
      </c>
      <c r="Y50" s="60"/>
      <c r="Z50" s="64"/>
      <c r="AA50" s="60"/>
      <c r="AB50" s="60"/>
      <c r="AC50" s="60"/>
      <c r="AD50" s="60"/>
      <c r="AE50" s="60"/>
      <c r="AF50" s="60"/>
      <c r="AG50" s="60"/>
      <c r="AH50" s="60"/>
      <c r="AI50" s="60"/>
    </row>
    <row r="51" spans="1:35" s="6" customFormat="1" ht="18" x14ac:dyDescent="0.2">
      <c r="A51" s="40"/>
      <c r="B51" s="31"/>
      <c r="C51" s="41"/>
      <c r="D51" s="52"/>
      <c r="E51" s="52"/>
      <c r="F51" s="49"/>
      <c r="G51" s="50"/>
      <c r="H51" s="54"/>
      <c r="I51" s="55"/>
      <c r="J51" s="43"/>
      <c r="K51" s="45"/>
      <c r="L51" s="34">
        <f>(Table210[[#This Row],[Unit cost]]*Table311[[#This Row],[FX]])+Table210[[#This Row],[Unit cost]]</f>
        <v>0</v>
      </c>
      <c r="M51" s="44">
        <f>'H.W&amp;S.W&amp;Services'!$I51*Table2[[#This Row],[Unit cost FX]]</f>
        <v>0</v>
      </c>
      <c r="N51" s="45"/>
      <c r="O51" s="37">
        <f>(Table2[[#This Row],[Unit cost FX]]*Table3[[#This Row],[%]])+Table2[[#This Row],[Unit cost FX]]</f>
        <v>0</v>
      </c>
      <c r="P51" s="44">
        <f>'H.W&amp;S.W&amp;Services'!$O51*'H.W&amp;S.W&amp;Services'!$I51</f>
        <v>0</v>
      </c>
      <c r="Y51" s="60"/>
      <c r="Z51" s="64"/>
      <c r="AA51" s="60"/>
      <c r="AB51" s="60"/>
      <c r="AC51" s="60"/>
      <c r="AD51" s="60"/>
      <c r="AE51" s="60"/>
      <c r="AF51" s="60"/>
      <c r="AG51" s="60"/>
      <c r="AH51" s="60"/>
      <c r="AI51" s="60"/>
    </row>
    <row r="52" spans="1:35" s="6" customFormat="1" ht="18" x14ac:dyDescent="0.2">
      <c r="A52" s="40"/>
      <c r="B52" s="31"/>
      <c r="C52" s="41"/>
      <c r="D52" s="52"/>
      <c r="E52" s="52"/>
      <c r="F52" s="49"/>
      <c r="G52" s="50"/>
      <c r="H52" s="54"/>
      <c r="I52" s="55"/>
      <c r="J52" s="43"/>
      <c r="K52" s="45"/>
      <c r="L52" s="34">
        <f>(Table210[[#This Row],[Unit cost]]*Table311[[#This Row],[FX]])+Table210[[#This Row],[Unit cost]]</f>
        <v>0</v>
      </c>
      <c r="M52" s="44">
        <f>'H.W&amp;S.W&amp;Services'!$I52*Table2[[#This Row],[Unit cost FX]]</f>
        <v>0</v>
      </c>
      <c r="N52" s="45"/>
      <c r="O52" s="37">
        <f>(Table2[[#This Row],[Unit cost FX]]*Table3[[#This Row],[%]])+Table2[[#This Row],[Unit cost FX]]</f>
        <v>0</v>
      </c>
      <c r="P52" s="44">
        <f>'H.W&amp;S.W&amp;Services'!$O52*'H.W&amp;S.W&amp;Services'!$I52</f>
        <v>0</v>
      </c>
      <c r="Y52" s="60"/>
      <c r="Z52" s="64"/>
      <c r="AA52" s="60"/>
      <c r="AB52" s="60"/>
      <c r="AC52" s="60"/>
      <c r="AD52" s="60"/>
      <c r="AE52" s="60"/>
      <c r="AF52" s="60"/>
      <c r="AG52" s="60"/>
      <c r="AH52" s="60"/>
      <c r="AI52" s="60"/>
    </row>
    <row r="53" spans="1:35" s="6" customFormat="1" ht="18" x14ac:dyDescent="0.2">
      <c r="A53" s="40"/>
      <c r="B53" s="31"/>
      <c r="C53" s="41"/>
      <c r="D53" s="52"/>
      <c r="E53" s="52"/>
      <c r="F53" s="49"/>
      <c r="G53" s="50"/>
      <c r="H53" s="54"/>
      <c r="I53" s="55"/>
      <c r="J53" s="43"/>
      <c r="K53" s="45"/>
      <c r="L53" s="34">
        <f>(Table210[[#This Row],[Unit cost]]*Table311[[#This Row],[FX]])+Table210[[#This Row],[Unit cost]]</f>
        <v>0</v>
      </c>
      <c r="M53" s="44">
        <f>'H.W&amp;S.W&amp;Services'!$I53*Table2[[#This Row],[Unit cost FX]]</f>
        <v>0</v>
      </c>
      <c r="N53" s="45"/>
      <c r="O53" s="37">
        <f>(Table2[[#This Row],[Unit cost FX]]*Table3[[#This Row],[%]])+Table2[[#This Row],[Unit cost FX]]</f>
        <v>0</v>
      </c>
      <c r="P53" s="44">
        <f>'H.W&amp;S.W&amp;Services'!$O53*'H.W&amp;S.W&amp;Services'!$I53</f>
        <v>0</v>
      </c>
      <c r="Y53" s="60"/>
      <c r="Z53" s="64"/>
      <c r="AA53" s="60"/>
      <c r="AB53" s="60"/>
      <c r="AC53" s="60"/>
      <c r="AD53" s="60"/>
      <c r="AE53" s="60"/>
      <c r="AF53" s="60"/>
      <c r="AG53" s="60"/>
      <c r="AH53" s="60"/>
      <c r="AI53" s="60"/>
    </row>
    <row r="54" spans="1:35" s="6" customFormat="1" ht="18" x14ac:dyDescent="0.2">
      <c r="A54" s="40"/>
      <c r="B54" s="31"/>
      <c r="C54" s="41"/>
      <c r="D54" s="52"/>
      <c r="E54" s="52"/>
      <c r="F54" s="49"/>
      <c r="G54" s="50"/>
      <c r="H54" s="54"/>
      <c r="I54" s="55"/>
      <c r="J54" s="43"/>
      <c r="K54" s="45"/>
      <c r="L54" s="34">
        <f>(Table210[[#This Row],[Unit cost]]*Table311[[#This Row],[FX]])+Table210[[#This Row],[Unit cost]]</f>
        <v>0</v>
      </c>
      <c r="M54" s="44">
        <f>'H.W&amp;S.W&amp;Services'!$I54*Table2[[#This Row],[Unit cost FX]]</f>
        <v>0</v>
      </c>
      <c r="N54" s="45"/>
      <c r="O54" s="37">
        <f>(Table2[[#This Row],[Unit cost FX]]*Table3[[#This Row],[%]])+Table2[[#This Row],[Unit cost FX]]</f>
        <v>0</v>
      </c>
      <c r="P54" s="44">
        <f>'H.W&amp;S.W&amp;Services'!$O54*'H.W&amp;S.W&amp;Services'!$I54</f>
        <v>0</v>
      </c>
      <c r="Y54" s="60"/>
      <c r="Z54" s="64"/>
      <c r="AA54" s="60"/>
      <c r="AB54" s="60"/>
      <c r="AC54" s="60"/>
      <c r="AD54" s="60"/>
      <c r="AE54" s="60"/>
      <c r="AF54" s="60"/>
      <c r="AG54" s="60"/>
      <c r="AH54" s="60"/>
      <c r="AI54" s="60"/>
    </row>
    <row r="55" spans="1:35" s="6" customFormat="1" ht="18" x14ac:dyDescent="0.2">
      <c r="A55" s="40"/>
      <c r="B55" s="31"/>
      <c r="C55" s="41"/>
      <c r="D55" s="52"/>
      <c r="E55" s="52"/>
      <c r="F55" s="49"/>
      <c r="G55" s="50"/>
      <c r="H55" s="54"/>
      <c r="I55" s="55"/>
      <c r="J55" s="43"/>
      <c r="K55" s="45"/>
      <c r="L55" s="34">
        <f>(Table210[[#This Row],[Unit cost]]*Table311[[#This Row],[FX]])+Table210[[#This Row],[Unit cost]]</f>
        <v>0</v>
      </c>
      <c r="M55" s="44">
        <f>'H.W&amp;S.W&amp;Services'!$I55*Table2[[#This Row],[Unit cost FX]]</f>
        <v>0</v>
      </c>
      <c r="N55" s="45"/>
      <c r="O55" s="37">
        <f>(Table2[[#This Row],[Unit cost FX]]*Table3[[#This Row],[%]])+Table2[[#This Row],[Unit cost FX]]</f>
        <v>0</v>
      </c>
      <c r="P55" s="44">
        <f>'H.W&amp;S.W&amp;Services'!$O55*'H.W&amp;S.W&amp;Services'!$I55</f>
        <v>0</v>
      </c>
      <c r="Y55" s="60"/>
      <c r="Z55" s="64"/>
      <c r="AA55" s="60"/>
      <c r="AB55" s="60"/>
      <c r="AC55" s="60"/>
      <c r="AD55" s="60"/>
      <c r="AE55" s="60"/>
      <c r="AF55" s="60"/>
      <c r="AG55" s="60"/>
      <c r="AH55" s="60"/>
      <c r="AI55" s="60"/>
    </row>
    <row r="56" spans="1:35" s="6" customFormat="1" ht="18" x14ac:dyDescent="0.2">
      <c r="A56" s="40"/>
      <c r="B56" s="31"/>
      <c r="C56" s="41"/>
      <c r="D56" s="52"/>
      <c r="E56" s="52"/>
      <c r="F56" s="49"/>
      <c r="G56" s="50"/>
      <c r="H56" s="41"/>
      <c r="I56" s="42"/>
      <c r="J56" s="43"/>
      <c r="K56" s="45"/>
      <c r="L56" s="34">
        <f>(Table210[[#This Row],[Unit cost]]*Table311[[#This Row],[FX]])+Table210[[#This Row],[Unit cost]]</f>
        <v>0</v>
      </c>
      <c r="M56" s="44">
        <f>'H.W&amp;S.W&amp;Services'!$I56*Table2[[#This Row],[Unit cost FX]]</f>
        <v>0</v>
      </c>
      <c r="N56" s="45"/>
      <c r="O56" s="37">
        <f>(Table2[[#This Row],[Unit cost FX]]*Table3[[#This Row],[%]])+Table2[[#This Row],[Unit cost FX]]</f>
        <v>0</v>
      </c>
      <c r="P56" s="44">
        <f>'H.W&amp;S.W&amp;Services'!$O56*'H.W&amp;S.W&amp;Services'!$I56</f>
        <v>0</v>
      </c>
      <c r="Y56" s="60"/>
      <c r="Z56" s="64"/>
      <c r="AA56" s="60"/>
      <c r="AB56" s="60"/>
      <c r="AC56" s="60"/>
      <c r="AD56" s="60"/>
      <c r="AE56" s="60"/>
      <c r="AF56" s="60"/>
      <c r="AG56" s="60"/>
      <c r="AH56" s="60"/>
      <c r="AI56" s="60"/>
    </row>
    <row r="57" spans="1:35" s="6" customFormat="1" ht="18" x14ac:dyDescent="0.2">
      <c r="A57" s="40"/>
      <c r="B57" s="31"/>
      <c r="C57" s="41"/>
      <c r="D57" s="52"/>
      <c r="E57" s="52"/>
      <c r="F57" s="49"/>
      <c r="G57" s="50"/>
      <c r="H57" s="41"/>
      <c r="I57" s="42"/>
      <c r="J57" s="43"/>
      <c r="K57" s="45"/>
      <c r="L57" s="34">
        <f>(Table210[[#This Row],[Unit cost]]*Table311[[#This Row],[FX]])+Table210[[#This Row],[Unit cost]]</f>
        <v>0</v>
      </c>
      <c r="M57" s="44">
        <f>'H.W&amp;S.W&amp;Services'!$I57*Table2[[#This Row],[Unit cost FX]]</f>
        <v>0</v>
      </c>
      <c r="N57" s="45"/>
      <c r="O57" s="37">
        <f>(Table2[[#This Row],[Unit cost FX]]*Table3[[#This Row],[%]])+Table2[[#This Row],[Unit cost FX]]</f>
        <v>0</v>
      </c>
      <c r="P57" s="44">
        <f>'H.W&amp;S.W&amp;Services'!$O57*'H.W&amp;S.W&amp;Services'!$I57</f>
        <v>0</v>
      </c>
      <c r="Y57" s="60"/>
      <c r="Z57" s="64"/>
      <c r="AA57" s="60"/>
      <c r="AB57" s="60"/>
      <c r="AC57" s="60"/>
      <c r="AD57" s="60"/>
      <c r="AE57" s="60"/>
      <c r="AF57" s="60"/>
      <c r="AG57" s="60"/>
      <c r="AH57" s="60"/>
      <c r="AI57" s="60"/>
    </row>
    <row r="58" spans="1:35" s="6" customFormat="1" ht="18" x14ac:dyDescent="0.2">
      <c r="A58" s="40"/>
      <c r="B58" s="31"/>
      <c r="C58" s="41"/>
      <c r="D58" s="52"/>
      <c r="E58" s="52"/>
      <c r="F58" s="49"/>
      <c r="G58" s="50"/>
      <c r="H58" s="41"/>
      <c r="I58" s="42"/>
      <c r="J58" s="43"/>
      <c r="K58" s="45"/>
      <c r="L58" s="34">
        <f>(Table210[[#This Row],[Unit cost]]*Table311[[#This Row],[FX]])+Table210[[#This Row],[Unit cost]]</f>
        <v>0</v>
      </c>
      <c r="M58" s="44">
        <f>'H.W&amp;S.W&amp;Services'!$I58*Table2[[#This Row],[Unit cost FX]]</f>
        <v>0</v>
      </c>
      <c r="N58" s="45"/>
      <c r="O58" s="37">
        <f>(Table2[[#This Row],[Unit cost FX]]*Table3[[#This Row],[%]])+Table2[[#This Row],[Unit cost FX]]</f>
        <v>0</v>
      </c>
      <c r="P58" s="44">
        <f>'H.W&amp;S.W&amp;Services'!$O58*'H.W&amp;S.W&amp;Services'!$I58</f>
        <v>0</v>
      </c>
      <c r="Y58" s="60"/>
      <c r="Z58" s="64"/>
      <c r="AA58" s="60"/>
      <c r="AB58" s="60"/>
      <c r="AC58" s="60"/>
      <c r="AD58" s="60"/>
      <c r="AE58" s="60"/>
      <c r="AF58" s="60"/>
      <c r="AG58" s="60"/>
      <c r="AH58" s="60"/>
      <c r="AI58" s="60"/>
    </row>
    <row r="59" spans="1:35" s="6" customFormat="1" ht="18" x14ac:dyDescent="0.2">
      <c r="A59" s="40"/>
      <c r="B59" s="31"/>
      <c r="C59" s="41"/>
      <c r="D59" s="52"/>
      <c r="E59" s="52"/>
      <c r="F59" s="49"/>
      <c r="G59" s="50"/>
      <c r="H59" s="41"/>
      <c r="I59" s="42"/>
      <c r="J59" s="43"/>
      <c r="K59" s="45"/>
      <c r="L59" s="34">
        <f>(Table210[[#This Row],[Unit cost]]*Table311[[#This Row],[FX]])+Table210[[#This Row],[Unit cost]]</f>
        <v>0</v>
      </c>
      <c r="M59" s="44">
        <f>'H.W&amp;S.W&amp;Services'!$I59*Table2[[#This Row],[Unit cost FX]]</f>
        <v>0</v>
      </c>
      <c r="N59" s="45"/>
      <c r="O59" s="37">
        <f>(Table2[[#This Row],[Unit cost FX]]*Table3[[#This Row],[%]])+Table2[[#This Row],[Unit cost FX]]</f>
        <v>0</v>
      </c>
      <c r="P59" s="44">
        <f>'H.W&amp;S.W&amp;Services'!$O59*'H.W&amp;S.W&amp;Services'!$I59</f>
        <v>0</v>
      </c>
      <c r="Y59" s="60"/>
      <c r="Z59" s="64"/>
      <c r="AA59" s="60"/>
      <c r="AB59" s="60"/>
      <c r="AC59" s="60"/>
      <c r="AD59" s="60"/>
      <c r="AE59" s="60"/>
      <c r="AF59" s="60"/>
      <c r="AG59" s="60"/>
      <c r="AH59" s="60"/>
      <c r="AI59" s="60"/>
    </row>
    <row r="60" spans="1:35" s="6" customFormat="1" ht="18" x14ac:dyDescent="0.2">
      <c r="A60" s="40"/>
      <c r="B60" s="31"/>
      <c r="C60" s="41"/>
      <c r="D60" s="52"/>
      <c r="E60" s="52"/>
      <c r="F60" s="49"/>
      <c r="G60" s="50"/>
      <c r="H60" s="41"/>
      <c r="I60" s="42"/>
      <c r="J60" s="43"/>
      <c r="K60" s="45"/>
      <c r="L60" s="34">
        <f>(Table210[[#This Row],[Unit cost]]*Table311[[#This Row],[FX]])+Table210[[#This Row],[Unit cost]]</f>
        <v>0</v>
      </c>
      <c r="M60" s="44">
        <f>'H.W&amp;S.W&amp;Services'!$I60*Table2[[#This Row],[Unit cost FX]]</f>
        <v>0</v>
      </c>
      <c r="N60" s="45"/>
      <c r="O60" s="37">
        <f>(Table2[[#This Row],[Unit cost FX]]*Table3[[#This Row],[%]])+Table2[[#This Row],[Unit cost FX]]</f>
        <v>0</v>
      </c>
      <c r="P60" s="44">
        <f>'H.W&amp;S.W&amp;Services'!$O60*'H.W&amp;S.W&amp;Services'!$I60</f>
        <v>0</v>
      </c>
      <c r="Y60" s="60"/>
      <c r="Z60" s="64"/>
      <c r="AA60" s="60"/>
      <c r="AB60" s="60"/>
      <c r="AC60" s="60"/>
      <c r="AD60" s="60"/>
      <c r="AE60" s="60"/>
      <c r="AF60" s="60"/>
      <c r="AG60" s="60"/>
      <c r="AH60" s="60"/>
      <c r="AI60" s="60"/>
    </row>
    <row r="61" spans="1:35" s="6" customFormat="1" ht="18" x14ac:dyDescent="0.2">
      <c r="A61" s="40"/>
      <c r="B61" s="31"/>
      <c r="C61" s="41"/>
      <c r="D61" s="52"/>
      <c r="E61" s="52"/>
      <c r="F61" s="49"/>
      <c r="G61" s="50"/>
      <c r="H61" s="41"/>
      <c r="I61" s="42"/>
      <c r="J61" s="43"/>
      <c r="K61" s="45"/>
      <c r="L61" s="34">
        <f>(Table210[[#This Row],[Unit cost]]*Table311[[#This Row],[FX]])+Table210[[#This Row],[Unit cost]]</f>
        <v>0</v>
      </c>
      <c r="M61" s="44">
        <f>'H.W&amp;S.W&amp;Services'!$I61*Table2[[#This Row],[Unit cost FX]]</f>
        <v>0</v>
      </c>
      <c r="N61" s="45"/>
      <c r="O61" s="37">
        <f>(Table2[[#This Row],[Unit cost FX]]*Table3[[#This Row],[%]])+Table2[[#This Row],[Unit cost FX]]</f>
        <v>0</v>
      </c>
      <c r="P61" s="44">
        <f>'H.W&amp;S.W&amp;Services'!$O61*'H.W&amp;S.W&amp;Services'!$I61</f>
        <v>0</v>
      </c>
      <c r="Y61" s="60"/>
      <c r="Z61" s="64"/>
      <c r="AA61" s="60"/>
      <c r="AB61" s="60"/>
      <c r="AC61" s="60"/>
      <c r="AD61" s="60"/>
      <c r="AE61" s="60"/>
      <c r="AF61" s="60"/>
      <c r="AG61" s="60"/>
      <c r="AH61" s="60"/>
      <c r="AI61" s="60"/>
    </row>
    <row r="62" spans="1:35" s="6" customFormat="1" ht="18" x14ac:dyDescent="0.2">
      <c r="A62" s="40"/>
      <c r="B62" s="31"/>
      <c r="C62" s="41"/>
      <c r="D62" s="52"/>
      <c r="E62" s="52"/>
      <c r="F62" s="49"/>
      <c r="G62" s="50"/>
      <c r="H62" s="41"/>
      <c r="I62" s="42"/>
      <c r="J62" s="43"/>
      <c r="K62" s="45"/>
      <c r="L62" s="34">
        <f>(Table210[[#This Row],[Unit cost]]*Table311[[#This Row],[FX]])+Table210[[#This Row],[Unit cost]]</f>
        <v>0</v>
      </c>
      <c r="M62" s="44">
        <f>'H.W&amp;S.W&amp;Services'!$I62*Table2[[#This Row],[Unit cost FX]]</f>
        <v>0</v>
      </c>
      <c r="N62" s="45"/>
      <c r="O62" s="37">
        <f>(Table2[[#This Row],[Unit cost FX]]*Table3[[#This Row],[%]])+Table2[[#This Row],[Unit cost FX]]</f>
        <v>0</v>
      </c>
      <c r="P62" s="44">
        <f>'H.W&amp;S.W&amp;Services'!$O62*'H.W&amp;S.W&amp;Services'!$I62</f>
        <v>0</v>
      </c>
      <c r="Y62" s="60"/>
      <c r="Z62" s="64"/>
      <c r="AA62" s="60"/>
      <c r="AB62" s="60"/>
      <c r="AC62" s="60"/>
      <c r="AD62" s="60"/>
      <c r="AE62" s="60"/>
      <c r="AF62" s="60"/>
      <c r="AG62" s="60"/>
      <c r="AH62" s="60"/>
      <c r="AI62" s="60"/>
    </row>
    <row r="63" spans="1:35" s="6" customFormat="1" ht="18" x14ac:dyDescent="0.2">
      <c r="A63" s="40"/>
      <c r="B63" s="31"/>
      <c r="C63" s="41"/>
      <c r="D63" s="49"/>
      <c r="E63" s="49"/>
      <c r="F63" s="49"/>
      <c r="G63" s="50"/>
      <c r="H63" s="41"/>
      <c r="I63" s="42"/>
      <c r="J63" s="43"/>
      <c r="K63" s="45"/>
      <c r="L63" s="34">
        <f>(Table210[[#This Row],[Unit cost]]*Table311[[#This Row],[FX]])+Table210[[#This Row],[Unit cost]]</f>
        <v>0</v>
      </c>
      <c r="M63" s="44">
        <f>'H.W&amp;S.W&amp;Services'!$I63*Table2[[#This Row],[Unit cost FX]]</f>
        <v>0</v>
      </c>
      <c r="N63" s="45"/>
      <c r="O63" s="37">
        <f>(Table2[[#This Row],[Unit cost FX]]*Table3[[#This Row],[%]])+Table2[[#This Row],[Unit cost FX]]</f>
        <v>0</v>
      </c>
      <c r="P63" s="44">
        <f>'H.W&amp;S.W&amp;Services'!$O63*'H.W&amp;S.W&amp;Services'!$I63</f>
        <v>0</v>
      </c>
      <c r="Y63" s="60"/>
      <c r="Z63" s="64"/>
      <c r="AA63" s="60"/>
      <c r="AB63" s="60"/>
      <c r="AC63" s="60"/>
      <c r="AD63" s="60"/>
      <c r="AE63" s="60"/>
      <c r="AF63" s="60"/>
      <c r="AG63" s="60"/>
      <c r="AH63" s="60"/>
      <c r="AI63" s="60"/>
    </row>
    <row r="64" spans="1:35" s="6" customFormat="1" ht="18" x14ac:dyDescent="0.2">
      <c r="A64" s="40"/>
      <c r="B64" s="31"/>
      <c r="C64" s="41"/>
      <c r="D64" s="49"/>
      <c r="E64" s="49"/>
      <c r="F64" s="49"/>
      <c r="G64" s="50"/>
      <c r="H64" s="41"/>
      <c r="I64" s="42"/>
      <c r="J64" s="43"/>
      <c r="K64" s="45"/>
      <c r="L64" s="34">
        <f>(Table210[[#This Row],[Unit cost]]*Table311[[#This Row],[FX]])+Table210[[#This Row],[Unit cost]]</f>
        <v>0</v>
      </c>
      <c r="M64" s="44">
        <f>'H.W&amp;S.W&amp;Services'!$I64*Table2[[#This Row],[Unit cost FX]]</f>
        <v>0</v>
      </c>
      <c r="N64" s="45"/>
      <c r="O64" s="37">
        <f>(Table2[[#This Row],[Unit cost FX]]*Table3[[#This Row],[%]])+Table2[[#This Row],[Unit cost FX]]</f>
        <v>0</v>
      </c>
      <c r="P64" s="44">
        <f>'H.W&amp;S.W&amp;Services'!$O64*'H.W&amp;S.W&amp;Services'!$I64</f>
        <v>0</v>
      </c>
      <c r="Y64" s="60"/>
      <c r="Z64" s="64"/>
      <c r="AA64" s="60"/>
      <c r="AB64" s="60"/>
      <c r="AC64" s="60"/>
      <c r="AD64" s="60"/>
      <c r="AE64" s="60"/>
      <c r="AF64" s="60"/>
      <c r="AG64" s="60"/>
      <c r="AH64" s="60"/>
      <c r="AI64" s="60"/>
    </row>
    <row r="65" spans="1:35" s="6" customFormat="1" ht="18" x14ac:dyDescent="0.2">
      <c r="A65" s="40"/>
      <c r="B65" s="31"/>
      <c r="C65" s="41"/>
      <c r="D65" s="49"/>
      <c r="E65" s="49"/>
      <c r="F65" s="49"/>
      <c r="G65" s="50"/>
      <c r="H65" s="41"/>
      <c r="I65" s="42"/>
      <c r="J65" s="43"/>
      <c r="K65" s="45"/>
      <c r="L65" s="34">
        <f>(Table210[[#This Row],[Unit cost]]*Table311[[#This Row],[FX]])+Table210[[#This Row],[Unit cost]]</f>
        <v>0</v>
      </c>
      <c r="M65" s="44">
        <f>'H.W&amp;S.W&amp;Services'!$I65*Table2[[#This Row],[Unit cost FX]]</f>
        <v>0</v>
      </c>
      <c r="N65" s="45"/>
      <c r="O65" s="37">
        <f>(Table2[[#This Row],[Unit cost FX]]*Table3[[#This Row],[%]])+Table2[[#This Row],[Unit cost FX]]</f>
        <v>0</v>
      </c>
      <c r="P65" s="44">
        <f>'H.W&amp;S.W&amp;Services'!$O65*'H.W&amp;S.W&amp;Services'!$I65</f>
        <v>0</v>
      </c>
      <c r="Y65" s="60"/>
      <c r="Z65" s="64"/>
      <c r="AA65" s="60"/>
      <c r="AB65" s="60"/>
      <c r="AC65" s="60"/>
      <c r="AD65" s="60"/>
      <c r="AE65" s="60"/>
      <c r="AF65" s="60"/>
      <c r="AG65" s="60"/>
      <c r="AH65" s="60"/>
      <c r="AI65" s="60"/>
    </row>
    <row r="66" spans="1:35" ht="18" x14ac:dyDescent="0.2">
      <c r="A66" s="40"/>
      <c r="B66" s="31"/>
      <c r="C66" s="41"/>
      <c r="D66" s="49"/>
      <c r="E66" s="49"/>
      <c r="F66" s="49"/>
      <c r="G66" s="50"/>
      <c r="H66" s="41"/>
      <c r="I66" s="42"/>
      <c r="J66" s="46"/>
      <c r="K66" s="47"/>
      <c r="L66" s="34">
        <f>(Table210[[#This Row],[Unit cost]]*Table311[[#This Row],[FX]])+Table210[[#This Row],[Unit cost]]</f>
        <v>0</v>
      </c>
      <c r="M66" s="44">
        <f>I66*Table2[[#This Row],[Unit cost FX]]</f>
        <v>0</v>
      </c>
      <c r="N66" s="47"/>
      <c r="O66" s="37">
        <f>Table2[[#This Row],[Unit cost FX]]*N66+Table2[[#This Row],[Unit cost FX]]</f>
        <v>0</v>
      </c>
      <c r="P66" s="44">
        <f>'H.W&amp;S.W&amp;Services'!$O66*'H.W&amp;S.W&amp;Services'!$I66</f>
        <v>0</v>
      </c>
    </row>
    <row r="67" spans="1:35" ht="15" customHeight="1" x14ac:dyDescent="0.2">
      <c r="A67" s="40"/>
      <c r="B67" s="31"/>
      <c r="C67" s="41"/>
      <c r="D67" s="49"/>
      <c r="E67" s="49"/>
      <c r="F67" s="49"/>
      <c r="G67" s="50"/>
      <c r="H67" s="41"/>
      <c r="I67" s="42"/>
      <c r="J67" s="46"/>
      <c r="K67" s="47"/>
      <c r="L67" s="34">
        <f>(Table210[[#This Row],[Unit cost]]*Table311[[#This Row],[FX]])+Table210[[#This Row],[Unit cost]]</f>
        <v>0</v>
      </c>
      <c r="M67" s="44">
        <f>I67*Table2[[#This Row],[Unit cost FX]]</f>
        <v>0</v>
      </c>
      <c r="N67" s="47"/>
      <c r="O67" s="37">
        <f>Table2[[#This Row],[Unit cost FX]]*N67+Table2[[#This Row],[Unit cost FX]]</f>
        <v>0</v>
      </c>
      <c r="P67" s="44">
        <f>'H.W&amp;S.W&amp;Services'!$O67*'H.W&amp;S.W&amp;Services'!$I67</f>
        <v>0</v>
      </c>
    </row>
    <row r="68" spans="1:35" ht="15" customHeight="1" x14ac:dyDescent="0.2">
      <c r="A68" s="40"/>
      <c r="B68" s="31"/>
      <c r="C68" s="41"/>
      <c r="D68" s="49"/>
      <c r="E68" s="49"/>
      <c r="F68" s="49"/>
      <c r="G68" s="50"/>
      <c r="H68" s="41"/>
      <c r="I68" s="42"/>
      <c r="J68" s="46"/>
      <c r="K68" s="47"/>
      <c r="L68" s="34">
        <f>(Table210[[#This Row],[Unit cost]]*Table311[[#This Row],[FX]])+Table210[[#This Row],[Unit cost]]</f>
        <v>0</v>
      </c>
      <c r="M68" s="44">
        <f>I68*Table2[[#This Row],[Unit cost FX]]</f>
        <v>0</v>
      </c>
      <c r="N68" s="47"/>
      <c r="O68" s="37">
        <f>Table2[[#This Row],[Unit cost FX]]*N68+Table2[[#This Row],[Unit cost FX]]</f>
        <v>0</v>
      </c>
      <c r="P68" s="44">
        <f>'H.W&amp;S.W&amp;Services'!$O68*'H.W&amp;S.W&amp;Services'!$I68</f>
        <v>0</v>
      </c>
    </row>
    <row r="69" spans="1:35" ht="15" customHeight="1" x14ac:dyDescent="0.2">
      <c r="A69" s="40"/>
      <c r="B69" s="31"/>
      <c r="C69" s="41"/>
      <c r="D69" s="49"/>
      <c r="E69" s="49"/>
      <c r="F69" s="49"/>
      <c r="G69" s="50"/>
      <c r="H69" s="41"/>
      <c r="I69" s="42"/>
      <c r="J69" s="46"/>
      <c r="K69" s="47"/>
      <c r="L69" s="34">
        <f>(Table210[[#This Row],[Unit cost]]*Table311[[#This Row],[FX]])+Table210[[#This Row],[Unit cost]]</f>
        <v>0</v>
      </c>
      <c r="M69" s="44">
        <f>I69*Table2[[#This Row],[Unit cost FX]]</f>
        <v>0</v>
      </c>
      <c r="N69" s="47"/>
      <c r="O69" s="37">
        <f>Table2[[#This Row],[Unit cost FX]]*N69+Table2[[#This Row],[Unit cost FX]]</f>
        <v>0</v>
      </c>
      <c r="P69" s="44">
        <f>'H.W&amp;S.W&amp;Services'!$O69*'H.W&amp;S.W&amp;Services'!$I69</f>
        <v>0</v>
      </c>
    </row>
    <row r="70" spans="1:35" ht="15" customHeight="1" x14ac:dyDescent="0.2">
      <c r="A70" s="40"/>
      <c r="B70" s="31"/>
      <c r="C70" s="41"/>
      <c r="D70" s="49"/>
      <c r="E70" s="49"/>
      <c r="F70" s="49"/>
      <c r="G70" s="50"/>
      <c r="H70" s="41"/>
      <c r="I70" s="42"/>
      <c r="J70" s="46"/>
      <c r="K70" s="47"/>
      <c r="L70" s="34">
        <f>(Table210[[#This Row],[Unit cost]]*Table311[[#This Row],[FX]])+Table210[[#This Row],[Unit cost]]</f>
        <v>0</v>
      </c>
      <c r="M70" s="44">
        <f>I70*Table2[[#This Row],[Unit cost FX]]</f>
        <v>0</v>
      </c>
      <c r="N70" s="47"/>
      <c r="O70" s="37">
        <f>Table2[[#This Row],[Unit cost FX]]*N70+Table2[[#This Row],[Unit cost FX]]</f>
        <v>0</v>
      </c>
      <c r="P70" s="44">
        <f>'H.W&amp;S.W&amp;Services'!$O70*'H.W&amp;S.W&amp;Services'!$I70</f>
        <v>0</v>
      </c>
    </row>
    <row r="71" spans="1:35" ht="18" x14ac:dyDescent="0.2">
      <c r="A71" s="40"/>
      <c r="B71" s="31"/>
      <c r="C71" s="41"/>
      <c r="D71" s="49"/>
      <c r="E71" s="49"/>
      <c r="F71" s="49"/>
      <c r="G71" s="50"/>
      <c r="H71" s="41"/>
      <c r="I71" s="42"/>
      <c r="J71" s="46"/>
      <c r="K71" s="47"/>
      <c r="L71" s="34">
        <f>(Table210[[#This Row],[Unit cost]]*Table311[[#This Row],[FX]])+Table210[[#This Row],[Unit cost]]</f>
        <v>0</v>
      </c>
      <c r="M71" s="44">
        <f>I71*Table2[[#This Row],[Unit cost FX]]</f>
        <v>0</v>
      </c>
      <c r="N71" s="47"/>
      <c r="O71" s="37">
        <f>Table2[[#This Row],[Unit cost FX]]*N71+Table2[[#This Row],[Unit cost FX]]</f>
        <v>0</v>
      </c>
      <c r="P71" s="44">
        <f>'H.W&amp;S.W&amp;Services'!$O71*'H.W&amp;S.W&amp;Services'!$I71</f>
        <v>0</v>
      </c>
    </row>
    <row r="72" spans="1:35" ht="18" x14ac:dyDescent="0.2">
      <c r="A72" s="40"/>
      <c r="B72" s="31"/>
      <c r="C72" s="41"/>
      <c r="D72" s="49"/>
      <c r="E72" s="49"/>
      <c r="F72" s="49"/>
      <c r="G72" s="50"/>
      <c r="H72" s="41"/>
      <c r="I72" s="42"/>
      <c r="J72" s="46"/>
      <c r="K72" s="47"/>
      <c r="L72" s="34">
        <f>(Table210[[#This Row],[Unit cost]]*Table311[[#This Row],[FX]])+Table210[[#This Row],[Unit cost]]</f>
        <v>0</v>
      </c>
      <c r="M72" s="44">
        <f>I72*Table2[[#This Row],[Unit cost FX]]</f>
        <v>0</v>
      </c>
      <c r="N72" s="47"/>
      <c r="O72" s="37">
        <f>Table2[[#This Row],[Unit cost FX]]*N72+Table2[[#This Row],[Unit cost FX]]</f>
        <v>0</v>
      </c>
      <c r="P72" s="44">
        <f>'H.W&amp;S.W&amp;Services'!$O72*'H.W&amp;S.W&amp;Services'!$I72</f>
        <v>0</v>
      </c>
    </row>
    <row r="73" spans="1:35" ht="18" x14ac:dyDescent="0.2">
      <c r="A73" s="40"/>
      <c r="B73" s="31"/>
      <c r="C73" s="41"/>
      <c r="D73" s="49"/>
      <c r="E73" s="49"/>
      <c r="F73" s="49"/>
      <c r="G73" s="50"/>
      <c r="H73" s="41"/>
      <c r="I73" s="42"/>
      <c r="J73" s="46"/>
      <c r="K73" s="47"/>
      <c r="L73" s="34">
        <f>(Table210[[#This Row],[Unit cost]]*Table311[[#This Row],[FX]])+Table210[[#This Row],[Unit cost]]</f>
        <v>0</v>
      </c>
      <c r="M73" s="44">
        <f>I73*Table2[[#This Row],[Unit cost FX]]</f>
        <v>0</v>
      </c>
      <c r="N73" s="47"/>
      <c r="O73" s="37">
        <f>Table2[[#This Row],[Unit cost FX]]*N73+Table2[[#This Row],[Unit cost FX]]</f>
        <v>0</v>
      </c>
      <c r="P73" s="44">
        <f>'H.W&amp;S.W&amp;Services'!$O73*'H.W&amp;S.W&amp;Services'!$I73</f>
        <v>0</v>
      </c>
    </row>
    <row r="74" spans="1:35" ht="18" x14ac:dyDescent="0.2">
      <c r="A74" s="40"/>
      <c r="B74" s="31"/>
      <c r="C74" s="41"/>
      <c r="D74" s="49"/>
      <c r="E74" s="49"/>
      <c r="F74" s="49"/>
      <c r="G74" s="50"/>
      <c r="H74" s="41"/>
      <c r="I74" s="42"/>
      <c r="J74" s="46"/>
      <c r="K74" s="47"/>
      <c r="L74" s="34">
        <f>(Table210[[#This Row],[Unit cost]]*Table311[[#This Row],[FX]])+Table210[[#This Row],[Unit cost]]</f>
        <v>0</v>
      </c>
      <c r="M74" s="44">
        <f>I74*Table2[[#This Row],[Unit cost FX]]</f>
        <v>0</v>
      </c>
      <c r="N74" s="47"/>
      <c r="O74" s="37">
        <f>Table2[[#This Row],[Unit cost FX]]*N74+Table2[[#This Row],[Unit cost FX]]</f>
        <v>0</v>
      </c>
      <c r="P74" s="44">
        <f>'H.W&amp;S.W&amp;Services'!$O74*'H.W&amp;S.W&amp;Services'!$I74</f>
        <v>0</v>
      </c>
    </row>
    <row r="75" spans="1:35" ht="18" x14ac:dyDescent="0.2">
      <c r="A75" s="40"/>
      <c r="B75" s="31"/>
      <c r="C75" s="41"/>
      <c r="D75" s="49"/>
      <c r="E75" s="49"/>
      <c r="F75" s="49"/>
      <c r="G75" s="50"/>
      <c r="H75" s="41"/>
      <c r="I75" s="42"/>
      <c r="J75" s="46"/>
      <c r="K75" s="47"/>
      <c r="L75" s="34">
        <f>(Table210[[#This Row],[Unit cost]]*Table311[[#This Row],[FX]])+Table210[[#This Row],[Unit cost]]</f>
        <v>0</v>
      </c>
      <c r="M75" s="44">
        <f>I75*Table2[[#This Row],[Unit cost FX]]</f>
        <v>0</v>
      </c>
      <c r="N75" s="47"/>
      <c r="O75" s="37">
        <f>Table2[[#This Row],[Unit cost FX]]*N75+Table2[[#This Row],[Unit cost FX]]</f>
        <v>0</v>
      </c>
      <c r="P75" s="44">
        <f>'H.W&amp;S.W&amp;Services'!$O75*'H.W&amp;S.W&amp;Services'!$I75</f>
        <v>0</v>
      </c>
    </row>
    <row r="76" spans="1:35" ht="18" x14ac:dyDescent="0.2">
      <c r="A76" s="40"/>
      <c r="B76" s="31"/>
      <c r="C76" s="41"/>
      <c r="D76" s="49"/>
      <c r="E76" s="49"/>
      <c r="F76" s="49"/>
      <c r="G76" s="50"/>
      <c r="H76" s="41"/>
      <c r="I76" s="42"/>
      <c r="J76" s="46"/>
      <c r="K76" s="47"/>
      <c r="L76" s="34">
        <f>(Table210[[#This Row],[Unit cost]]*Table311[[#This Row],[FX]])+Table210[[#This Row],[Unit cost]]</f>
        <v>0</v>
      </c>
      <c r="M76" s="44">
        <f>I76*Table2[[#This Row],[Unit cost FX]]</f>
        <v>0</v>
      </c>
      <c r="N76" s="47"/>
      <c r="O76" s="37">
        <f>Table2[[#This Row],[Unit cost FX]]*N76+Table2[[#This Row],[Unit cost FX]]</f>
        <v>0</v>
      </c>
      <c r="P76" s="44">
        <f>'H.W&amp;S.W&amp;Services'!$O76*'H.W&amp;S.W&amp;Services'!$I76</f>
        <v>0</v>
      </c>
    </row>
    <row r="77" spans="1:35" ht="18" x14ac:dyDescent="0.2">
      <c r="A77" s="40"/>
      <c r="B77" s="31"/>
      <c r="C77" s="41"/>
      <c r="D77" s="49"/>
      <c r="E77" s="49"/>
      <c r="F77" s="49"/>
      <c r="G77" s="50"/>
      <c r="H77" s="41"/>
      <c r="I77" s="42"/>
      <c r="J77" s="46"/>
      <c r="K77" s="47"/>
      <c r="L77" s="34">
        <f>(Table210[[#This Row],[Unit cost]]*Table311[[#This Row],[FX]])+Table210[[#This Row],[Unit cost]]</f>
        <v>0</v>
      </c>
      <c r="M77" s="44">
        <f>I77*Table2[[#This Row],[Unit cost FX]]</f>
        <v>0</v>
      </c>
      <c r="N77" s="47"/>
      <c r="O77" s="37">
        <f>Table2[[#This Row],[Unit cost FX]]*N77+Table2[[#This Row],[Unit cost FX]]</f>
        <v>0</v>
      </c>
      <c r="P77" s="44">
        <f>'H.W&amp;S.W&amp;Services'!$O77*'H.W&amp;S.W&amp;Services'!$I77</f>
        <v>0</v>
      </c>
    </row>
    <row r="78" spans="1:35" ht="18" x14ac:dyDescent="0.2">
      <c r="A78" s="40"/>
      <c r="B78" s="31"/>
      <c r="C78" s="41"/>
      <c r="D78" s="49"/>
      <c r="E78" s="49"/>
      <c r="F78" s="49"/>
      <c r="G78" s="50"/>
      <c r="H78" s="41"/>
      <c r="I78" s="42"/>
      <c r="J78" s="46"/>
      <c r="K78" s="47"/>
      <c r="L78" s="34">
        <f>(Table210[[#This Row],[Unit cost]]*Table311[[#This Row],[FX]])+Table210[[#This Row],[Unit cost]]</f>
        <v>0</v>
      </c>
      <c r="M78" s="44">
        <f>I78*Table2[[#This Row],[Unit cost FX]]</f>
        <v>0</v>
      </c>
      <c r="N78" s="47"/>
      <c r="O78" s="37">
        <f>Table2[[#This Row],[Unit cost FX]]*N78+Table2[[#This Row],[Unit cost FX]]</f>
        <v>0</v>
      </c>
      <c r="P78" s="44">
        <f>'H.W&amp;S.W&amp;Services'!$O78*'H.W&amp;S.W&amp;Services'!$I78</f>
        <v>0</v>
      </c>
    </row>
    <row r="79" spans="1:35" ht="18" x14ac:dyDescent="0.2">
      <c r="A79" s="40"/>
      <c r="B79" s="31"/>
      <c r="C79" s="41"/>
      <c r="D79" s="49"/>
      <c r="E79" s="49"/>
      <c r="F79" s="49"/>
      <c r="G79" s="50"/>
      <c r="H79" s="41"/>
      <c r="I79" s="42"/>
      <c r="J79" s="46"/>
      <c r="K79" s="47"/>
      <c r="L79" s="34">
        <f>(Table210[[#This Row],[Unit cost]]*Table311[[#This Row],[FX]])+Table210[[#This Row],[Unit cost]]</f>
        <v>0</v>
      </c>
      <c r="M79" s="44">
        <f>I79*Table2[[#This Row],[Unit cost FX]]</f>
        <v>0</v>
      </c>
      <c r="N79" s="47"/>
      <c r="O79" s="37">
        <f>Table2[[#This Row],[Unit cost FX]]*N79+Table2[[#This Row],[Unit cost FX]]</f>
        <v>0</v>
      </c>
      <c r="P79" s="44">
        <f>'H.W&amp;S.W&amp;Services'!$O79*'H.W&amp;S.W&amp;Services'!$I79</f>
        <v>0</v>
      </c>
    </row>
    <row r="80" spans="1:35" ht="18" x14ac:dyDescent="0.2">
      <c r="A80" s="40"/>
      <c r="B80" s="31"/>
      <c r="C80" s="41"/>
      <c r="D80" s="49"/>
      <c r="E80" s="49"/>
      <c r="F80" s="49"/>
      <c r="G80" s="50"/>
      <c r="H80" s="41"/>
      <c r="I80" s="42"/>
      <c r="J80" s="46"/>
      <c r="K80" s="47"/>
      <c r="L80" s="34">
        <f>(Table210[[#This Row],[Unit cost]]*Table311[[#This Row],[FX]])+Table210[[#This Row],[Unit cost]]</f>
        <v>0</v>
      </c>
      <c r="M80" s="44">
        <f>I80*Table2[[#This Row],[Unit cost FX]]</f>
        <v>0</v>
      </c>
      <c r="N80" s="47"/>
      <c r="O80" s="37">
        <f>Table2[[#This Row],[Unit cost FX]]*N80+Table2[[#This Row],[Unit cost FX]]</f>
        <v>0</v>
      </c>
      <c r="P80" s="44">
        <f>'H.W&amp;S.W&amp;Services'!$O80*'H.W&amp;S.W&amp;Services'!$I80</f>
        <v>0</v>
      </c>
    </row>
    <row r="81" spans="1:16" ht="18" x14ac:dyDescent="0.2">
      <c r="A81" s="40"/>
      <c r="B81" s="31"/>
      <c r="C81" s="41"/>
      <c r="D81" s="49"/>
      <c r="E81" s="49"/>
      <c r="F81" s="49"/>
      <c r="G81" s="50"/>
      <c r="H81" s="41"/>
      <c r="I81" s="42"/>
      <c r="J81" s="46"/>
      <c r="K81" s="47"/>
      <c r="L81" s="34">
        <f>(Table210[[#This Row],[Unit cost]]*Table311[[#This Row],[FX]])+Table210[[#This Row],[Unit cost]]</f>
        <v>0</v>
      </c>
      <c r="M81" s="44">
        <f>I81*Table2[[#This Row],[Unit cost FX]]</f>
        <v>0</v>
      </c>
      <c r="N81" s="47"/>
      <c r="O81" s="37">
        <f>Table2[[#This Row],[Unit cost FX]]*N81+Table2[[#This Row],[Unit cost FX]]</f>
        <v>0</v>
      </c>
      <c r="P81" s="44">
        <f>'H.W&amp;S.W&amp;Services'!$O81*'H.W&amp;S.W&amp;Services'!$I81</f>
        <v>0</v>
      </c>
    </row>
    <row r="82" spans="1:16" ht="18" x14ac:dyDescent="0.2">
      <c r="A82" s="40"/>
      <c r="B82" s="31"/>
      <c r="C82" s="41"/>
      <c r="D82" s="49"/>
      <c r="E82" s="49"/>
      <c r="F82" s="49"/>
      <c r="G82" s="50"/>
      <c r="H82" s="41"/>
      <c r="I82" s="42"/>
      <c r="J82" s="46"/>
      <c r="K82" s="47"/>
      <c r="L82" s="34">
        <f>(Table210[[#This Row],[Unit cost]]*Table311[[#This Row],[FX]])+Table210[[#This Row],[Unit cost]]</f>
        <v>0</v>
      </c>
      <c r="M82" s="44">
        <f>I82*Table2[[#This Row],[Unit cost FX]]</f>
        <v>0</v>
      </c>
      <c r="N82" s="47"/>
      <c r="O82" s="37">
        <f>Table2[[#This Row],[Unit cost FX]]*N82+Table2[[#This Row],[Unit cost FX]]</f>
        <v>0</v>
      </c>
      <c r="P82" s="44">
        <f>'H.W&amp;S.W&amp;Services'!$O82*'H.W&amp;S.W&amp;Services'!$I82</f>
        <v>0</v>
      </c>
    </row>
    <row r="83" spans="1:16" ht="18" x14ac:dyDescent="0.2">
      <c r="A83" s="40"/>
      <c r="B83" s="31"/>
      <c r="C83" s="41"/>
      <c r="D83" s="49"/>
      <c r="E83" s="49"/>
      <c r="F83" s="49"/>
      <c r="G83" s="50"/>
      <c r="H83" s="41"/>
      <c r="I83" s="42"/>
      <c r="J83" s="46"/>
      <c r="K83" s="47"/>
      <c r="L83" s="34">
        <f>(Table210[[#This Row],[Unit cost]]*Table311[[#This Row],[FX]])+Table210[[#This Row],[Unit cost]]</f>
        <v>0</v>
      </c>
      <c r="M83" s="44">
        <f>I83*Table2[[#This Row],[Unit cost FX]]</f>
        <v>0</v>
      </c>
      <c r="N83" s="47"/>
      <c r="O83" s="37">
        <f>Table2[[#This Row],[Unit cost FX]]*N83+Table2[[#This Row],[Unit cost FX]]</f>
        <v>0</v>
      </c>
      <c r="P83" s="44">
        <f>'H.W&amp;S.W&amp;Services'!$O83*'H.W&amp;S.W&amp;Services'!$I83</f>
        <v>0</v>
      </c>
    </row>
    <row r="84" spans="1:16" ht="18" x14ac:dyDescent="0.2">
      <c r="A84" s="40"/>
      <c r="B84" s="31"/>
      <c r="C84" s="41"/>
      <c r="D84" s="49"/>
      <c r="E84" s="49"/>
      <c r="F84" s="49"/>
      <c r="G84" s="50"/>
      <c r="H84" s="41"/>
      <c r="I84" s="42"/>
      <c r="J84" s="46"/>
      <c r="K84" s="47"/>
      <c r="L84" s="34">
        <f>(Table210[[#This Row],[Unit cost]]*Table311[[#This Row],[FX]])+Table210[[#This Row],[Unit cost]]</f>
        <v>0</v>
      </c>
      <c r="M84" s="44">
        <f>I84*Table2[[#This Row],[Unit cost FX]]</f>
        <v>0</v>
      </c>
      <c r="N84" s="47"/>
      <c r="O84" s="37">
        <f>Table2[[#This Row],[Unit cost FX]]*N84+Table2[[#This Row],[Unit cost FX]]</f>
        <v>0</v>
      </c>
      <c r="P84" s="44">
        <f>'H.W&amp;S.W&amp;Services'!$O84*'H.W&amp;S.W&amp;Services'!$I84</f>
        <v>0</v>
      </c>
    </row>
    <row r="85" spans="1:16" ht="18" x14ac:dyDescent="0.2">
      <c r="A85" s="40"/>
      <c r="B85" s="31"/>
      <c r="C85" s="41"/>
      <c r="D85" s="49"/>
      <c r="E85" s="49"/>
      <c r="F85" s="49"/>
      <c r="G85" s="50"/>
      <c r="H85" s="41"/>
      <c r="I85" s="42"/>
      <c r="J85" s="46"/>
      <c r="K85" s="47"/>
      <c r="L85" s="34">
        <f>(Table210[[#This Row],[Unit cost]]*Table311[[#This Row],[FX]])+Table210[[#This Row],[Unit cost]]</f>
        <v>0</v>
      </c>
      <c r="M85" s="44">
        <f>I85*Table2[[#This Row],[Unit cost FX]]</f>
        <v>0</v>
      </c>
      <c r="N85" s="47"/>
      <c r="O85" s="37">
        <f>Table2[[#This Row],[Unit cost FX]]*N85+Table2[[#This Row],[Unit cost FX]]</f>
        <v>0</v>
      </c>
      <c r="P85" s="44">
        <f>'H.W&amp;S.W&amp;Services'!$O85*'H.W&amp;S.W&amp;Services'!$I85</f>
        <v>0</v>
      </c>
    </row>
    <row r="86" spans="1:16" ht="18" x14ac:dyDescent="0.2">
      <c r="A86" s="40"/>
      <c r="B86" s="31"/>
      <c r="C86" s="41"/>
      <c r="D86" s="49"/>
      <c r="E86" s="49"/>
      <c r="F86" s="49"/>
      <c r="G86" s="50"/>
      <c r="H86" s="41"/>
      <c r="I86" s="42"/>
      <c r="J86" s="46"/>
      <c r="K86" s="47"/>
      <c r="L86" s="34">
        <f>(Table210[[#This Row],[Unit cost]]*Table311[[#This Row],[FX]])+Table210[[#This Row],[Unit cost]]</f>
        <v>0</v>
      </c>
      <c r="M86" s="44">
        <f>I86*Table2[[#This Row],[Unit cost FX]]</f>
        <v>0</v>
      </c>
      <c r="N86" s="47"/>
      <c r="O86" s="37">
        <f>Table2[[#This Row],[Unit cost FX]]*N86+Table2[[#This Row],[Unit cost FX]]</f>
        <v>0</v>
      </c>
      <c r="P86" s="44">
        <f>'H.W&amp;S.W&amp;Services'!$O86*'H.W&amp;S.W&amp;Services'!$I86</f>
        <v>0</v>
      </c>
    </row>
    <row r="87" spans="1:16" ht="18" x14ac:dyDescent="0.2">
      <c r="A87" s="40"/>
      <c r="B87" s="31"/>
      <c r="C87" s="41"/>
      <c r="D87" s="49"/>
      <c r="E87" s="49"/>
      <c r="F87" s="49"/>
      <c r="G87" s="50"/>
      <c r="H87" s="41"/>
      <c r="I87" s="42"/>
      <c r="J87" s="46"/>
      <c r="K87" s="47"/>
      <c r="L87" s="34">
        <f>(Table210[[#This Row],[Unit cost]]*Table311[[#This Row],[FX]])+Table210[[#This Row],[Unit cost]]</f>
        <v>0</v>
      </c>
      <c r="M87" s="44">
        <f>I87*Table2[[#This Row],[Unit cost FX]]</f>
        <v>0</v>
      </c>
      <c r="N87" s="47"/>
      <c r="O87" s="37">
        <f>Table2[[#This Row],[Unit cost FX]]*N87+Table2[[#This Row],[Unit cost FX]]</f>
        <v>0</v>
      </c>
      <c r="P87" s="44">
        <f>'H.W&amp;S.W&amp;Services'!$O87*'H.W&amp;S.W&amp;Services'!$I87</f>
        <v>0</v>
      </c>
    </row>
    <row r="88" spans="1:16" ht="18" x14ac:dyDescent="0.2">
      <c r="A88" s="40"/>
      <c r="B88" s="31"/>
      <c r="C88" s="41"/>
      <c r="D88" s="49"/>
      <c r="E88" s="49"/>
      <c r="F88" s="49"/>
      <c r="G88" s="50"/>
      <c r="H88" s="41"/>
      <c r="I88" s="42"/>
      <c r="J88" s="46"/>
      <c r="K88" s="47"/>
      <c r="L88" s="34">
        <f>(Table210[[#This Row],[Unit cost]]*Table311[[#This Row],[FX]])+Table210[[#This Row],[Unit cost]]</f>
        <v>0</v>
      </c>
      <c r="M88" s="44">
        <f>I88*Table2[[#This Row],[Unit cost FX]]</f>
        <v>0</v>
      </c>
      <c r="N88" s="47"/>
      <c r="O88" s="37">
        <f>Table2[[#This Row],[Unit cost FX]]*N88+Table2[[#This Row],[Unit cost FX]]</f>
        <v>0</v>
      </c>
      <c r="P88" s="44">
        <f>'H.W&amp;S.W&amp;Services'!$O88*'H.W&amp;S.W&amp;Services'!$I88</f>
        <v>0</v>
      </c>
    </row>
    <row r="89" spans="1:16" ht="18" x14ac:dyDescent="0.2">
      <c r="A89" s="40"/>
      <c r="B89" s="31"/>
      <c r="C89" s="41"/>
      <c r="D89" s="49"/>
      <c r="E89" s="49"/>
      <c r="F89" s="49"/>
      <c r="G89" s="50"/>
      <c r="H89" s="41"/>
      <c r="I89" s="42"/>
      <c r="J89" s="46"/>
      <c r="K89" s="47"/>
      <c r="L89" s="34">
        <f>(Table210[[#This Row],[Unit cost]]*Table311[[#This Row],[FX]])+Table210[[#This Row],[Unit cost]]</f>
        <v>0</v>
      </c>
      <c r="M89" s="44">
        <f>I89*Table2[[#This Row],[Unit cost FX]]</f>
        <v>0</v>
      </c>
      <c r="N89" s="47"/>
      <c r="O89" s="37">
        <f>Table2[[#This Row],[Unit cost FX]]*N89+Table2[[#This Row],[Unit cost FX]]</f>
        <v>0</v>
      </c>
      <c r="P89" s="44">
        <f>'H.W&amp;S.W&amp;Services'!$O89*'H.W&amp;S.W&amp;Services'!$I89</f>
        <v>0</v>
      </c>
    </row>
    <row r="90" spans="1:16" ht="18" x14ac:dyDescent="0.2">
      <c r="A90" s="40"/>
      <c r="B90" s="31"/>
      <c r="C90" s="41"/>
      <c r="D90" s="49"/>
      <c r="E90" s="49"/>
      <c r="F90" s="49"/>
      <c r="G90" s="50"/>
      <c r="H90" s="41"/>
      <c r="I90" s="42"/>
      <c r="J90" s="46"/>
      <c r="K90" s="47"/>
      <c r="L90" s="34">
        <f>(Table210[[#This Row],[Unit cost]]*Table311[[#This Row],[FX]])+Table210[[#This Row],[Unit cost]]</f>
        <v>0</v>
      </c>
      <c r="M90" s="44">
        <f>I90*Table2[[#This Row],[Unit cost FX]]</f>
        <v>0</v>
      </c>
      <c r="N90" s="47"/>
      <c r="O90" s="37">
        <f>Table2[[#This Row],[Unit cost FX]]*N90+Table2[[#This Row],[Unit cost FX]]</f>
        <v>0</v>
      </c>
      <c r="P90" s="44">
        <f>'H.W&amp;S.W&amp;Services'!$O90*'H.W&amp;S.W&amp;Services'!$I90</f>
        <v>0</v>
      </c>
    </row>
    <row r="91" spans="1:16" ht="18" x14ac:dyDescent="0.2">
      <c r="A91" s="40"/>
      <c r="B91" s="31"/>
      <c r="C91" s="41"/>
      <c r="D91" s="49"/>
      <c r="E91" s="49"/>
      <c r="F91" s="49"/>
      <c r="G91" s="50"/>
      <c r="H91" s="41"/>
      <c r="I91" s="42"/>
      <c r="J91" s="46"/>
      <c r="K91" s="47"/>
      <c r="L91" s="34">
        <f>(Table210[[#This Row],[Unit cost]]*Table311[[#This Row],[FX]])+Table210[[#This Row],[Unit cost]]</f>
        <v>0</v>
      </c>
      <c r="M91" s="44">
        <f>I91*Table2[[#This Row],[Unit cost FX]]</f>
        <v>0</v>
      </c>
      <c r="N91" s="47"/>
      <c r="O91" s="37">
        <f>Table2[[#This Row],[Unit cost FX]]*N91+Table2[[#This Row],[Unit cost FX]]</f>
        <v>0</v>
      </c>
      <c r="P91" s="44">
        <f>'H.W&amp;S.W&amp;Services'!$O91*'H.W&amp;S.W&amp;Services'!$I91</f>
        <v>0</v>
      </c>
    </row>
    <row r="92" spans="1:16" ht="18" x14ac:dyDescent="0.2">
      <c r="A92" s="40"/>
      <c r="B92" s="31"/>
      <c r="C92" s="41"/>
      <c r="D92" s="49"/>
      <c r="E92" s="49"/>
      <c r="F92" s="49"/>
      <c r="G92" s="50"/>
      <c r="H92" s="41"/>
      <c r="I92" s="42"/>
      <c r="J92" s="46"/>
      <c r="K92" s="47"/>
      <c r="L92" s="34">
        <f>(Table210[[#This Row],[Unit cost]]*Table311[[#This Row],[FX]])+Table210[[#This Row],[Unit cost]]</f>
        <v>0</v>
      </c>
      <c r="M92" s="44">
        <f>I92*Table2[[#This Row],[Unit cost FX]]</f>
        <v>0</v>
      </c>
      <c r="N92" s="47"/>
      <c r="O92" s="37">
        <f>Table2[[#This Row],[Unit cost FX]]*N92+Table2[[#This Row],[Unit cost FX]]</f>
        <v>0</v>
      </c>
      <c r="P92" s="44">
        <f>'H.W&amp;S.W&amp;Services'!$O92*'H.W&amp;S.W&amp;Services'!$I92</f>
        <v>0</v>
      </c>
    </row>
    <row r="93" spans="1:16" ht="18" x14ac:dyDescent="0.2">
      <c r="A93" s="40"/>
      <c r="B93" s="31"/>
      <c r="C93" s="41"/>
      <c r="D93" s="49"/>
      <c r="E93" s="49"/>
      <c r="F93" s="49"/>
      <c r="G93" s="50"/>
      <c r="H93" s="41"/>
      <c r="I93" s="42"/>
      <c r="J93" s="46"/>
      <c r="K93" s="47"/>
      <c r="L93" s="34">
        <f>(Table210[[#This Row],[Unit cost]]*Table311[[#This Row],[FX]])+Table210[[#This Row],[Unit cost]]</f>
        <v>0</v>
      </c>
      <c r="M93" s="44">
        <f>I93*Table2[[#This Row],[Unit cost FX]]</f>
        <v>0</v>
      </c>
      <c r="N93" s="47"/>
      <c r="O93" s="37">
        <f>Table2[[#This Row],[Unit cost FX]]*N93+Table2[[#This Row],[Unit cost FX]]</f>
        <v>0</v>
      </c>
      <c r="P93" s="44">
        <f>'H.W&amp;S.W&amp;Services'!$O93*'H.W&amp;S.W&amp;Services'!$I93</f>
        <v>0</v>
      </c>
    </row>
    <row r="94" spans="1:16" ht="18" x14ac:dyDescent="0.2">
      <c r="A94" s="40"/>
      <c r="B94" s="31"/>
      <c r="C94" s="41"/>
      <c r="D94" s="49"/>
      <c r="E94" s="49"/>
      <c r="F94" s="49"/>
      <c r="G94" s="50"/>
      <c r="H94" s="41"/>
      <c r="I94" s="42"/>
      <c r="J94" s="46"/>
      <c r="K94" s="47"/>
      <c r="L94" s="34">
        <f>(Table210[[#This Row],[Unit cost]]*Table311[[#This Row],[FX]])+Table210[[#This Row],[Unit cost]]</f>
        <v>0</v>
      </c>
      <c r="M94" s="44">
        <f>I94*Table2[[#This Row],[Unit cost FX]]</f>
        <v>0</v>
      </c>
      <c r="N94" s="47"/>
      <c r="O94" s="37">
        <f>Table2[[#This Row],[Unit cost FX]]*N94+Table2[[#This Row],[Unit cost FX]]</f>
        <v>0</v>
      </c>
      <c r="P94" s="44">
        <f>'H.W&amp;S.W&amp;Services'!$O94*'H.W&amp;S.W&amp;Services'!$I94</f>
        <v>0</v>
      </c>
    </row>
    <row r="95" spans="1:16" ht="18" x14ac:dyDescent="0.2">
      <c r="A95" s="40"/>
      <c r="B95" s="31"/>
      <c r="C95" s="41"/>
      <c r="D95" s="49"/>
      <c r="E95" s="49"/>
      <c r="F95" s="49"/>
      <c r="G95" s="50"/>
      <c r="H95" s="41"/>
      <c r="I95" s="42"/>
      <c r="J95" s="46"/>
      <c r="K95" s="47"/>
      <c r="L95" s="34">
        <f>(Table210[[#This Row],[Unit cost]]*Table311[[#This Row],[FX]])+Table210[[#This Row],[Unit cost]]</f>
        <v>0</v>
      </c>
      <c r="M95" s="44">
        <f>I95*Table2[[#This Row],[Unit cost FX]]</f>
        <v>0</v>
      </c>
      <c r="N95" s="47"/>
      <c r="O95" s="37">
        <f>Table2[[#This Row],[Unit cost FX]]*N95+Table2[[#This Row],[Unit cost FX]]</f>
        <v>0</v>
      </c>
      <c r="P95" s="44">
        <f>'H.W&amp;S.W&amp;Services'!$O95*'H.W&amp;S.W&amp;Services'!$I95</f>
        <v>0</v>
      </c>
    </row>
    <row r="96" spans="1:16" ht="18" x14ac:dyDescent="0.2">
      <c r="A96" s="40"/>
      <c r="B96" s="31"/>
      <c r="C96" s="41"/>
      <c r="D96" s="49"/>
      <c r="E96" s="49"/>
      <c r="F96" s="49"/>
      <c r="G96" s="50"/>
      <c r="H96" s="41"/>
      <c r="I96" s="42"/>
      <c r="J96" s="46"/>
      <c r="K96" s="47"/>
      <c r="L96" s="34">
        <f>(Table210[[#This Row],[Unit cost]]*Table311[[#This Row],[FX]])+Table210[[#This Row],[Unit cost]]</f>
        <v>0</v>
      </c>
      <c r="M96" s="44">
        <f>I96*Table2[[#This Row],[Unit cost FX]]</f>
        <v>0</v>
      </c>
      <c r="N96" s="47"/>
      <c r="O96" s="37">
        <f>Table2[[#This Row],[Unit cost FX]]*N96+Table2[[#This Row],[Unit cost FX]]</f>
        <v>0</v>
      </c>
      <c r="P96" s="44">
        <f>'H.W&amp;S.W&amp;Services'!$O96*'H.W&amp;S.W&amp;Services'!$I96</f>
        <v>0</v>
      </c>
    </row>
    <row r="97" spans="1:16" ht="18" x14ac:dyDescent="0.2">
      <c r="A97" s="40"/>
      <c r="B97" s="31"/>
      <c r="C97" s="41"/>
      <c r="D97" s="49"/>
      <c r="E97" s="49"/>
      <c r="F97" s="49"/>
      <c r="G97" s="50"/>
      <c r="H97" s="41"/>
      <c r="I97" s="42"/>
      <c r="J97" s="46"/>
      <c r="K97" s="47"/>
      <c r="L97" s="34">
        <f>(Table210[[#This Row],[Unit cost]]*Table311[[#This Row],[FX]])+Table210[[#This Row],[Unit cost]]</f>
        <v>0</v>
      </c>
      <c r="M97" s="44">
        <f>I97*Table2[[#This Row],[Unit cost FX]]</f>
        <v>0</v>
      </c>
      <c r="N97" s="47"/>
      <c r="O97" s="37">
        <f>Table2[[#This Row],[Unit cost FX]]*N97+Table2[[#This Row],[Unit cost FX]]</f>
        <v>0</v>
      </c>
      <c r="P97" s="44">
        <f>'H.W&amp;S.W&amp;Services'!$O97*'H.W&amp;S.W&amp;Services'!$I97</f>
        <v>0</v>
      </c>
    </row>
    <row r="98" spans="1:16" ht="18" x14ac:dyDescent="0.2">
      <c r="A98" s="40"/>
      <c r="B98" s="31"/>
      <c r="C98" s="41"/>
      <c r="D98" s="49"/>
      <c r="E98" s="49"/>
      <c r="F98" s="49"/>
      <c r="G98" s="50"/>
      <c r="H98" s="41"/>
      <c r="I98" s="42"/>
      <c r="J98" s="46"/>
      <c r="K98" s="47"/>
      <c r="L98" s="34">
        <f>(Table210[[#This Row],[Unit cost]]*Table311[[#This Row],[FX]])+Table210[[#This Row],[Unit cost]]</f>
        <v>0</v>
      </c>
      <c r="M98" s="44">
        <f>I98*Table2[[#This Row],[Unit cost FX]]</f>
        <v>0</v>
      </c>
      <c r="N98" s="47"/>
      <c r="O98" s="37">
        <f>Table2[[#This Row],[Unit cost FX]]*N98+Table2[[#This Row],[Unit cost FX]]</f>
        <v>0</v>
      </c>
      <c r="P98" s="44">
        <f>'H.W&amp;S.W&amp;Services'!$O98*'H.W&amp;S.W&amp;Services'!$I98</f>
        <v>0</v>
      </c>
    </row>
    <row r="99" spans="1:16" ht="15" customHeight="1" x14ac:dyDescent="0.2">
      <c r="A99" s="40"/>
      <c r="B99" s="31"/>
      <c r="C99" s="41"/>
      <c r="D99" s="49"/>
      <c r="E99" s="49"/>
      <c r="F99" s="49"/>
      <c r="G99" s="50"/>
      <c r="H99" s="41"/>
      <c r="I99" s="42"/>
      <c r="J99" s="46"/>
      <c r="K99" s="47"/>
      <c r="L99" s="34">
        <f>(Table210[[#This Row],[Unit cost]]*Table311[[#This Row],[FX]])+Table210[[#This Row],[Unit cost]]</f>
        <v>0</v>
      </c>
      <c r="M99" s="44">
        <f>I99*Table2[[#This Row],[Unit cost FX]]</f>
        <v>0</v>
      </c>
      <c r="N99" s="47"/>
      <c r="O99" s="37">
        <f>Table2[[#This Row],[Unit cost FX]]*N99+Table2[[#This Row],[Unit cost FX]]</f>
        <v>0</v>
      </c>
      <c r="P99" s="44">
        <f>'H.W&amp;S.W&amp;Services'!$O99*'H.W&amp;S.W&amp;Services'!$I99</f>
        <v>0</v>
      </c>
    </row>
    <row r="100" spans="1:16" ht="15" customHeight="1" x14ac:dyDescent="0.2">
      <c r="A100" s="40"/>
      <c r="B100" s="31"/>
      <c r="C100" s="41"/>
      <c r="D100" s="49"/>
      <c r="E100" s="49"/>
      <c r="F100" s="49"/>
      <c r="G100" s="50"/>
      <c r="H100" s="41"/>
      <c r="I100" s="42"/>
      <c r="J100" s="46"/>
      <c r="K100" s="47"/>
      <c r="L100" s="34">
        <f>(Table210[[#This Row],[Unit cost]]*Table311[[#This Row],[FX]])+Table210[[#This Row],[Unit cost]]</f>
        <v>0</v>
      </c>
      <c r="M100" s="44">
        <f>I100*Table2[[#This Row],[Unit cost FX]]</f>
        <v>0</v>
      </c>
      <c r="N100" s="47"/>
      <c r="O100" s="37">
        <f>Table2[[#This Row],[Unit cost FX]]*N100+Table2[[#This Row],[Unit cost FX]]</f>
        <v>0</v>
      </c>
      <c r="P100" s="44">
        <f>'H.W&amp;S.W&amp;Services'!$O100*'H.W&amp;S.W&amp;Services'!$I100</f>
        <v>0</v>
      </c>
    </row>
    <row r="101" spans="1:16" ht="15" customHeight="1" x14ac:dyDescent="0.2">
      <c r="A101" s="40"/>
      <c r="B101" s="31"/>
      <c r="C101" s="41"/>
      <c r="D101" s="49"/>
      <c r="E101" s="49"/>
      <c r="F101" s="49"/>
      <c r="G101" s="50"/>
      <c r="H101" s="41"/>
      <c r="I101" s="42"/>
      <c r="J101" s="46"/>
      <c r="K101" s="47"/>
      <c r="L101" s="34">
        <f>(Table210[[#This Row],[Unit cost]]*Table311[[#This Row],[FX]])+Table210[[#This Row],[Unit cost]]</f>
        <v>0</v>
      </c>
      <c r="M101" s="44">
        <f>I101*Table2[[#This Row],[Unit cost FX]]</f>
        <v>0</v>
      </c>
      <c r="N101" s="47"/>
      <c r="O101" s="37">
        <f>Table2[[#This Row],[Unit cost FX]]*N101+Table2[[#This Row],[Unit cost FX]]</f>
        <v>0</v>
      </c>
      <c r="P101" s="44">
        <f>'H.W&amp;S.W&amp;Services'!$O101*'H.W&amp;S.W&amp;Services'!$I101</f>
        <v>0</v>
      </c>
    </row>
    <row r="102" spans="1:16" ht="15" customHeight="1" x14ac:dyDescent="0.2">
      <c r="A102" s="40"/>
      <c r="B102" s="31"/>
      <c r="C102" s="41"/>
      <c r="D102" s="49"/>
      <c r="E102" s="49"/>
      <c r="F102" s="49"/>
      <c r="G102" s="50"/>
      <c r="H102" s="41"/>
      <c r="I102" s="42"/>
      <c r="J102" s="46"/>
      <c r="K102" s="47"/>
      <c r="L102" s="34">
        <f>(Table210[[#This Row],[Unit cost]]*Table311[[#This Row],[FX]])+Table210[[#This Row],[Unit cost]]</f>
        <v>0</v>
      </c>
      <c r="M102" s="44">
        <f>I102*Table2[[#This Row],[Unit cost FX]]</f>
        <v>0</v>
      </c>
      <c r="N102" s="47"/>
      <c r="O102" s="37">
        <f>Table2[[#This Row],[Unit cost FX]]*N102+Table2[[#This Row],[Unit cost FX]]</f>
        <v>0</v>
      </c>
      <c r="P102" s="44">
        <f>'H.W&amp;S.W&amp;Services'!$O102*'H.W&amp;S.W&amp;Services'!$I102</f>
        <v>0</v>
      </c>
    </row>
    <row r="103" spans="1:16" ht="15" customHeight="1" x14ac:dyDescent="0.2">
      <c r="A103" s="40"/>
      <c r="B103" s="31"/>
      <c r="C103" s="41"/>
      <c r="D103" s="49"/>
      <c r="E103" s="49"/>
      <c r="F103" s="49"/>
      <c r="G103" s="50"/>
      <c r="H103" s="41"/>
      <c r="I103" s="42"/>
      <c r="J103" s="46"/>
      <c r="K103" s="47"/>
      <c r="L103" s="34">
        <f>(Table210[[#This Row],[Unit cost]]*Table311[[#This Row],[FX]])+Table210[[#This Row],[Unit cost]]</f>
        <v>0</v>
      </c>
      <c r="M103" s="44">
        <f>I103*Table2[[#This Row],[Unit cost FX]]</f>
        <v>0</v>
      </c>
      <c r="N103" s="47"/>
      <c r="O103" s="37">
        <f>Table2[[#This Row],[Unit cost FX]]*N103+Table2[[#This Row],[Unit cost FX]]</f>
        <v>0</v>
      </c>
      <c r="P103" s="44">
        <f>'H.W&amp;S.W&amp;Services'!$O103*'H.W&amp;S.W&amp;Services'!$I103</f>
        <v>0</v>
      </c>
    </row>
    <row r="104" spans="1:16" ht="15" customHeight="1" x14ac:dyDescent="0.2">
      <c r="A104" s="40"/>
      <c r="B104" s="31"/>
      <c r="C104" s="41"/>
      <c r="D104" s="49"/>
      <c r="E104" s="49"/>
      <c r="F104" s="49"/>
      <c r="G104" s="50"/>
      <c r="H104" s="41"/>
      <c r="I104" s="42"/>
      <c r="J104" s="46"/>
      <c r="K104" s="47"/>
      <c r="L104" s="34">
        <f>(Table210[[#This Row],[Unit cost]]*Table311[[#This Row],[FX]])+Table210[[#This Row],[Unit cost]]</f>
        <v>0</v>
      </c>
      <c r="M104" s="44">
        <f>I104*Table2[[#This Row],[Unit cost FX]]</f>
        <v>0</v>
      </c>
      <c r="N104" s="47"/>
      <c r="O104" s="37">
        <f>Table2[[#This Row],[Unit cost FX]]*N104+Table2[[#This Row],[Unit cost FX]]</f>
        <v>0</v>
      </c>
      <c r="P104" s="44">
        <f>'H.W&amp;S.W&amp;Services'!$O104*'H.W&amp;S.W&amp;Services'!$I104</f>
        <v>0</v>
      </c>
    </row>
    <row r="105" spans="1:16" ht="15" customHeight="1" x14ac:dyDescent="0.2">
      <c r="A105" s="40"/>
      <c r="B105" s="31"/>
      <c r="C105" s="41"/>
      <c r="D105" s="49"/>
      <c r="E105" s="49"/>
      <c r="F105" s="49"/>
      <c r="G105" s="50"/>
      <c r="H105" s="41"/>
      <c r="I105" s="42"/>
      <c r="J105" s="46"/>
      <c r="K105" s="47"/>
      <c r="L105" s="34">
        <f>(Table210[[#This Row],[Unit cost]]*Table311[[#This Row],[FX]])+Table210[[#This Row],[Unit cost]]</f>
        <v>0</v>
      </c>
      <c r="M105" s="44">
        <f>I105*Table2[[#This Row],[Unit cost FX]]</f>
        <v>0</v>
      </c>
      <c r="N105" s="47"/>
      <c r="O105" s="37">
        <f>Table2[[#This Row],[Unit cost FX]]*N105+Table2[[#This Row],[Unit cost FX]]</f>
        <v>0</v>
      </c>
      <c r="P105" s="44">
        <f>'H.W&amp;S.W&amp;Services'!$O105*'H.W&amp;S.W&amp;Services'!$I105</f>
        <v>0</v>
      </c>
    </row>
    <row r="106" spans="1:16" ht="15" customHeight="1" x14ac:dyDescent="0.2">
      <c r="A106" s="40"/>
      <c r="B106" s="31"/>
      <c r="C106" s="41"/>
      <c r="D106" s="49"/>
      <c r="E106" s="49"/>
      <c r="F106" s="49"/>
      <c r="G106" s="50"/>
      <c r="H106" s="41"/>
      <c r="I106" s="42"/>
      <c r="J106" s="46"/>
      <c r="K106" s="47"/>
      <c r="L106" s="34">
        <f>(Table210[[#This Row],[Unit cost]]*Table311[[#This Row],[FX]])+Table210[[#This Row],[Unit cost]]</f>
        <v>0</v>
      </c>
      <c r="M106" s="44">
        <f>I106*Table2[[#This Row],[Unit cost FX]]</f>
        <v>0</v>
      </c>
      <c r="N106" s="47"/>
      <c r="O106" s="37">
        <f>Table2[[#This Row],[Unit cost FX]]*N106+Table2[[#This Row],[Unit cost FX]]</f>
        <v>0</v>
      </c>
      <c r="P106" s="44">
        <f>'H.W&amp;S.W&amp;Services'!$O106*'H.W&amp;S.W&amp;Services'!$I106</f>
        <v>0</v>
      </c>
    </row>
    <row r="107" spans="1:16" ht="15" customHeight="1" x14ac:dyDescent="0.2">
      <c r="A107" s="40"/>
      <c r="B107" s="31"/>
      <c r="C107" s="41"/>
      <c r="D107" s="49"/>
      <c r="E107" s="49"/>
      <c r="F107" s="49"/>
      <c r="G107" s="50"/>
      <c r="H107" s="41"/>
      <c r="I107" s="42"/>
      <c r="J107" s="46"/>
      <c r="K107" s="47"/>
      <c r="L107" s="34">
        <f>(Table210[[#This Row],[Unit cost]]*Table311[[#This Row],[FX]])+Table210[[#This Row],[Unit cost]]</f>
        <v>0</v>
      </c>
      <c r="M107" s="44">
        <f>I107*Table2[[#This Row],[Unit cost FX]]</f>
        <v>0</v>
      </c>
      <c r="N107" s="47"/>
      <c r="O107" s="37">
        <f>Table2[[#This Row],[Unit cost FX]]*N107+Table2[[#This Row],[Unit cost FX]]</f>
        <v>0</v>
      </c>
      <c r="P107" s="44">
        <f>'H.W&amp;S.W&amp;Services'!$O107*'H.W&amp;S.W&amp;Services'!$I107</f>
        <v>0</v>
      </c>
    </row>
    <row r="108" spans="1:16" ht="15" customHeight="1" x14ac:dyDescent="0.2">
      <c r="A108" s="40"/>
      <c r="B108" s="31"/>
      <c r="C108" s="41"/>
      <c r="D108" s="49"/>
      <c r="E108" s="49"/>
      <c r="F108" s="49"/>
      <c r="G108" s="50"/>
      <c r="H108" s="41"/>
      <c r="I108" s="42"/>
      <c r="J108" s="46"/>
      <c r="K108" s="47"/>
      <c r="L108" s="34">
        <f>(Table210[[#This Row],[Unit cost]]*Table311[[#This Row],[FX]])+Table210[[#This Row],[Unit cost]]</f>
        <v>0</v>
      </c>
      <c r="M108" s="44">
        <f>I108*Table2[[#This Row],[Unit cost FX]]</f>
        <v>0</v>
      </c>
      <c r="N108" s="47"/>
      <c r="O108" s="37">
        <f>Table2[[#This Row],[Unit cost FX]]*N108+Table2[[#This Row],[Unit cost FX]]</f>
        <v>0</v>
      </c>
      <c r="P108" s="44">
        <f>'H.W&amp;S.W&amp;Services'!$O108*'H.W&amp;S.W&amp;Services'!$I108</f>
        <v>0</v>
      </c>
    </row>
    <row r="109" spans="1:16" ht="15" customHeight="1" x14ac:dyDescent="0.2">
      <c r="A109" s="40"/>
      <c r="B109" s="31"/>
      <c r="C109" s="41"/>
      <c r="D109" s="49"/>
      <c r="E109" s="49"/>
      <c r="F109" s="49"/>
      <c r="G109" s="50"/>
      <c r="H109" s="41"/>
      <c r="I109" s="42"/>
      <c r="J109" s="46"/>
      <c r="K109" s="47"/>
      <c r="L109" s="34">
        <f>(Table210[[#This Row],[Unit cost]]*Table311[[#This Row],[FX]])+Table210[[#This Row],[Unit cost]]</f>
        <v>0</v>
      </c>
      <c r="M109" s="44">
        <f>I109*Table2[[#This Row],[Unit cost FX]]</f>
        <v>0</v>
      </c>
      <c r="N109" s="47"/>
      <c r="O109" s="37">
        <f>Table2[[#This Row],[Unit cost FX]]*N109+Table2[[#This Row],[Unit cost FX]]</f>
        <v>0</v>
      </c>
      <c r="P109" s="44">
        <f>'H.W&amp;S.W&amp;Services'!$O109*'H.W&amp;S.W&amp;Services'!$I109</f>
        <v>0</v>
      </c>
    </row>
    <row r="110" spans="1:16" ht="15" customHeight="1" x14ac:dyDescent="0.2">
      <c r="A110" s="40"/>
      <c r="B110" s="31"/>
      <c r="C110" s="41"/>
      <c r="D110" s="49"/>
      <c r="E110" s="49"/>
      <c r="F110" s="49"/>
      <c r="G110" s="50"/>
      <c r="H110" s="41"/>
      <c r="I110" s="42"/>
      <c r="J110" s="46"/>
      <c r="K110" s="47"/>
      <c r="L110" s="34">
        <f>(Table210[[#This Row],[Unit cost]]*Table311[[#This Row],[FX]])+Table210[[#This Row],[Unit cost]]</f>
        <v>0</v>
      </c>
      <c r="M110" s="44">
        <f>I110*Table2[[#This Row],[Unit cost FX]]</f>
        <v>0</v>
      </c>
      <c r="N110" s="47"/>
      <c r="O110" s="37">
        <f>Table2[[#This Row],[Unit cost FX]]*N110+Table2[[#This Row],[Unit cost FX]]</f>
        <v>0</v>
      </c>
      <c r="P110" s="44">
        <f>'H.W&amp;S.W&amp;Services'!$O110*'H.W&amp;S.W&amp;Services'!$I110</f>
        <v>0</v>
      </c>
    </row>
    <row r="111" spans="1:16" ht="15" customHeight="1" x14ac:dyDescent="0.2">
      <c r="A111" s="40"/>
      <c r="B111" s="31"/>
      <c r="C111" s="41"/>
      <c r="D111" s="49"/>
      <c r="E111" s="49"/>
      <c r="F111" s="49"/>
      <c r="G111" s="50"/>
      <c r="H111" s="41"/>
      <c r="I111" s="42"/>
      <c r="J111" s="46"/>
      <c r="K111" s="47"/>
      <c r="L111" s="34">
        <f>(Table210[[#This Row],[Unit cost]]*Table311[[#This Row],[FX]])+Table210[[#This Row],[Unit cost]]</f>
        <v>0</v>
      </c>
      <c r="M111" s="44">
        <f>I111*Table2[[#This Row],[Unit cost FX]]</f>
        <v>0</v>
      </c>
      <c r="N111" s="47"/>
      <c r="O111" s="37">
        <f>Table2[[#This Row],[Unit cost FX]]*N111+Table2[[#This Row],[Unit cost FX]]</f>
        <v>0</v>
      </c>
      <c r="P111" s="44">
        <f>'H.W&amp;S.W&amp;Services'!$O111*'H.W&amp;S.W&amp;Services'!$I111</f>
        <v>0</v>
      </c>
    </row>
    <row r="112" spans="1:16" ht="15" customHeight="1" x14ac:dyDescent="0.2">
      <c r="A112" s="40"/>
      <c r="B112" s="31"/>
      <c r="C112" s="41"/>
      <c r="D112" s="49"/>
      <c r="E112" s="49"/>
      <c r="F112" s="49"/>
      <c r="G112" s="50"/>
      <c r="H112" s="41"/>
      <c r="I112" s="42"/>
      <c r="J112" s="46"/>
      <c r="K112" s="47"/>
      <c r="L112" s="34">
        <f>(Table210[[#This Row],[Unit cost]]*Table311[[#This Row],[FX]])+Table210[[#This Row],[Unit cost]]</f>
        <v>0</v>
      </c>
      <c r="M112" s="44">
        <f>I112*Table2[[#This Row],[Unit cost FX]]</f>
        <v>0</v>
      </c>
      <c r="N112" s="47"/>
      <c r="O112" s="37">
        <f>Table2[[#This Row],[Unit cost FX]]*N112+Table2[[#This Row],[Unit cost FX]]</f>
        <v>0</v>
      </c>
      <c r="P112" s="44">
        <f>'H.W&amp;S.W&amp;Services'!$O112*'H.W&amp;S.W&amp;Services'!$I112</f>
        <v>0</v>
      </c>
    </row>
    <row r="113" spans="1:16" ht="15" customHeight="1" x14ac:dyDescent="0.2">
      <c r="A113" s="40"/>
      <c r="B113" s="31"/>
      <c r="C113" s="41"/>
      <c r="D113" s="49"/>
      <c r="E113" s="49"/>
      <c r="F113" s="49"/>
      <c r="G113" s="50"/>
      <c r="H113" s="41"/>
      <c r="I113" s="42"/>
      <c r="J113" s="46"/>
      <c r="K113" s="47"/>
      <c r="L113" s="34">
        <f>(Table210[[#This Row],[Unit cost]]*Table311[[#This Row],[FX]])+Table210[[#This Row],[Unit cost]]</f>
        <v>0</v>
      </c>
      <c r="M113" s="44">
        <f>I113*Table2[[#This Row],[Unit cost FX]]</f>
        <v>0</v>
      </c>
      <c r="N113" s="47"/>
      <c r="O113" s="37">
        <f>Table2[[#This Row],[Unit cost FX]]*N113+Table2[[#This Row],[Unit cost FX]]</f>
        <v>0</v>
      </c>
      <c r="P113" s="44">
        <f>'H.W&amp;S.W&amp;Services'!$O113*'H.W&amp;S.W&amp;Services'!$I113</f>
        <v>0</v>
      </c>
    </row>
    <row r="114" spans="1:16" ht="15" customHeight="1" x14ac:dyDescent="0.2">
      <c r="A114" s="40"/>
      <c r="B114" s="31"/>
      <c r="C114" s="41"/>
      <c r="D114" s="49"/>
      <c r="E114" s="49"/>
      <c r="F114" s="49"/>
      <c r="G114" s="50"/>
      <c r="H114" s="41"/>
      <c r="I114" s="42"/>
      <c r="J114" s="46"/>
      <c r="K114" s="47"/>
      <c r="L114" s="34">
        <f>(Table210[[#This Row],[Unit cost]]*Table311[[#This Row],[FX]])+Table210[[#This Row],[Unit cost]]</f>
        <v>0</v>
      </c>
      <c r="M114" s="44">
        <f>I114*Table2[[#This Row],[Unit cost FX]]</f>
        <v>0</v>
      </c>
      <c r="N114" s="47"/>
      <c r="O114" s="37">
        <f>Table2[[#This Row],[Unit cost FX]]*N114+Table2[[#This Row],[Unit cost FX]]</f>
        <v>0</v>
      </c>
      <c r="P114" s="44">
        <f>'H.W&amp;S.W&amp;Services'!$O114*'H.W&amp;S.W&amp;Services'!$I114</f>
        <v>0</v>
      </c>
    </row>
    <row r="115" spans="1:16" ht="15" customHeight="1" x14ac:dyDescent="0.2">
      <c r="A115" s="40"/>
      <c r="B115" s="31"/>
      <c r="C115" s="41"/>
      <c r="D115" s="49"/>
      <c r="E115" s="49"/>
      <c r="F115" s="49"/>
      <c r="G115" s="50"/>
      <c r="H115" s="41"/>
      <c r="I115" s="42"/>
      <c r="J115" s="46"/>
      <c r="K115" s="47"/>
      <c r="L115" s="34">
        <f>(Table210[[#This Row],[Unit cost]]*Table311[[#This Row],[FX]])+Table210[[#This Row],[Unit cost]]</f>
        <v>0</v>
      </c>
      <c r="M115" s="44">
        <f>I115*Table2[[#This Row],[Unit cost FX]]</f>
        <v>0</v>
      </c>
      <c r="N115" s="47"/>
      <c r="O115" s="37">
        <f>Table2[[#This Row],[Unit cost FX]]*N115+Table2[[#This Row],[Unit cost FX]]</f>
        <v>0</v>
      </c>
      <c r="P115" s="44">
        <f>'H.W&amp;S.W&amp;Services'!$O115*'H.W&amp;S.W&amp;Services'!$I115</f>
        <v>0</v>
      </c>
    </row>
    <row r="116" spans="1:16" ht="15" customHeight="1" x14ac:dyDescent="0.2">
      <c r="A116" s="40"/>
      <c r="B116" s="31"/>
      <c r="C116" s="41"/>
      <c r="D116" s="49"/>
      <c r="E116" s="49"/>
      <c r="F116" s="49"/>
      <c r="G116" s="50"/>
      <c r="H116" s="41"/>
      <c r="I116" s="42"/>
      <c r="J116" s="46"/>
      <c r="K116" s="47"/>
      <c r="L116" s="34">
        <f>(Table210[[#This Row],[Unit cost]]*Table311[[#This Row],[FX]])+Table210[[#This Row],[Unit cost]]</f>
        <v>0</v>
      </c>
      <c r="M116" s="44">
        <f>I116*Table2[[#This Row],[Unit cost FX]]</f>
        <v>0</v>
      </c>
      <c r="N116" s="47"/>
      <c r="O116" s="37">
        <f>Table2[[#This Row],[Unit cost FX]]*N116+Table2[[#This Row],[Unit cost FX]]</f>
        <v>0</v>
      </c>
      <c r="P116" s="44">
        <f>'H.W&amp;S.W&amp;Services'!$O116*'H.W&amp;S.W&amp;Services'!$I116</f>
        <v>0</v>
      </c>
    </row>
    <row r="117" spans="1:16" ht="15" customHeight="1" x14ac:dyDescent="0.2">
      <c r="A117" s="40"/>
      <c r="B117" s="31"/>
      <c r="C117" s="41"/>
      <c r="D117" s="49"/>
      <c r="E117" s="49"/>
      <c r="F117" s="49"/>
      <c r="G117" s="50"/>
      <c r="H117" s="41"/>
      <c r="I117" s="42"/>
      <c r="J117" s="46"/>
      <c r="K117" s="47"/>
      <c r="L117" s="34">
        <f>(Table210[[#This Row],[Unit cost]]*Table311[[#This Row],[FX]])+Table210[[#This Row],[Unit cost]]</f>
        <v>0</v>
      </c>
      <c r="M117" s="44">
        <f>I117*Table2[[#This Row],[Unit cost FX]]</f>
        <v>0</v>
      </c>
      <c r="N117" s="47"/>
      <c r="O117" s="37">
        <f>Table2[[#This Row],[Unit cost FX]]*N117+Table2[[#This Row],[Unit cost FX]]</f>
        <v>0</v>
      </c>
      <c r="P117" s="44">
        <f>'H.W&amp;S.W&amp;Services'!$O117*'H.W&amp;S.W&amp;Services'!$I117</f>
        <v>0</v>
      </c>
    </row>
    <row r="118" spans="1:16" ht="15" customHeight="1" x14ac:dyDescent="0.2">
      <c r="A118" s="40"/>
      <c r="B118" s="31"/>
      <c r="C118" s="41"/>
      <c r="D118" s="49"/>
      <c r="E118" s="49"/>
      <c r="F118" s="49"/>
      <c r="G118" s="50"/>
      <c r="H118" s="41"/>
      <c r="I118" s="42"/>
      <c r="J118" s="46"/>
      <c r="K118" s="47"/>
      <c r="L118" s="34">
        <f>(Table210[[#This Row],[Unit cost]]*Table311[[#This Row],[FX]])+Table210[[#This Row],[Unit cost]]</f>
        <v>0</v>
      </c>
      <c r="M118" s="44">
        <f>I118*Table2[[#This Row],[Unit cost FX]]</f>
        <v>0</v>
      </c>
      <c r="N118" s="47"/>
      <c r="O118" s="37">
        <f>Table2[[#This Row],[Unit cost FX]]*N118+Table2[[#This Row],[Unit cost FX]]</f>
        <v>0</v>
      </c>
      <c r="P118" s="44">
        <f>'H.W&amp;S.W&amp;Services'!$O118*'H.W&amp;S.W&amp;Services'!$I118</f>
        <v>0</v>
      </c>
    </row>
    <row r="119" spans="1:16" ht="15" customHeight="1" x14ac:dyDescent="0.2">
      <c r="A119" s="40"/>
      <c r="B119" s="31"/>
      <c r="C119" s="41"/>
      <c r="D119" s="49"/>
      <c r="E119" s="49"/>
      <c r="F119" s="49"/>
      <c r="G119" s="50"/>
      <c r="H119" s="41"/>
      <c r="I119" s="42"/>
      <c r="J119" s="46"/>
      <c r="K119" s="47"/>
      <c r="L119" s="34">
        <f>(Table210[[#This Row],[Unit cost]]*Table311[[#This Row],[FX]])+Table210[[#This Row],[Unit cost]]</f>
        <v>0</v>
      </c>
      <c r="M119" s="44">
        <f>I119*Table2[[#This Row],[Unit cost FX]]</f>
        <v>0</v>
      </c>
      <c r="N119" s="47"/>
      <c r="O119" s="37">
        <f>Table2[[#This Row],[Unit cost FX]]*N119+Table2[[#This Row],[Unit cost FX]]</f>
        <v>0</v>
      </c>
      <c r="P119" s="44">
        <f>'H.W&amp;S.W&amp;Services'!$O119*'H.W&amp;S.W&amp;Services'!$I119</f>
        <v>0</v>
      </c>
    </row>
    <row r="120" spans="1:16" ht="15" customHeight="1" x14ac:dyDescent="0.2">
      <c r="A120" s="40"/>
      <c r="B120" s="31"/>
      <c r="C120" s="41"/>
      <c r="D120" s="49"/>
      <c r="E120" s="49"/>
      <c r="F120" s="49"/>
      <c r="G120" s="50"/>
      <c r="H120" s="41"/>
      <c r="I120" s="42"/>
      <c r="J120" s="46"/>
      <c r="K120" s="47"/>
      <c r="L120" s="34">
        <f>(Table210[[#This Row],[Unit cost]]*Table311[[#This Row],[FX]])+Table210[[#This Row],[Unit cost]]</f>
        <v>0</v>
      </c>
      <c r="M120" s="44">
        <f>I120*Table2[[#This Row],[Unit cost FX]]</f>
        <v>0</v>
      </c>
      <c r="N120" s="47"/>
      <c r="O120" s="37">
        <f>Table2[[#This Row],[Unit cost FX]]*N120+Table2[[#This Row],[Unit cost FX]]</f>
        <v>0</v>
      </c>
      <c r="P120" s="44">
        <f>'H.W&amp;S.W&amp;Services'!$O120*'H.W&amp;S.W&amp;Services'!$I120</f>
        <v>0</v>
      </c>
    </row>
    <row r="121" spans="1:16" ht="15" customHeight="1" x14ac:dyDescent="0.2">
      <c r="A121" s="40"/>
      <c r="B121" s="31"/>
      <c r="C121" s="41"/>
      <c r="D121" s="49"/>
      <c r="E121" s="49"/>
      <c r="F121" s="49"/>
      <c r="G121" s="50"/>
      <c r="H121" s="41"/>
      <c r="I121" s="42"/>
      <c r="J121" s="46"/>
      <c r="K121" s="47"/>
      <c r="L121" s="34">
        <f>(Table210[[#This Row],[Unit cost]]*Table311[[#This Row],[FX]])+Table210[[#This Row],[Unit cost]]</f>
        <v>0</v>
      </c>
      <c r="M121" s="44">
        <f>I121*Table2[[#This Row],[Unit cost FX]]</f>
        <v>0</v>
      </c>
      <c r="N121" s="47"/>
      <c r="O121" s="37">
        <f>Table2[[#This Row],[Unit cost FX]]*N121+Table2[[#This Row],[Unit cost FX]]</f>
        <v>0</v>
      </c>
      <c r="P121" s="44">
        <f>'H.W&amp;S.W&amp;Services'!$O121*'H.W&amp;S.W&amp;Services'!$I121</f>
        <v>0</v>
      </c>
    </row>
    <row r="122" spans="1:16" ht="15" customHeight="1" x14ac:dyDescent="0.2">
      <c r="A122" s="40"/>
      <c r="B122" s="31"/>
      <c r="C122" s="41"/>
      <c r="D122" s="49"/>
      <c r="E122" s="49"/>
      <c r="F122" s="49"/>
      <c r="G122" s="50"/>
      <c r="H122" s="41"/>
      <c r="I122" s="42"/>
      <c r="J122" s="46"/>
      <c r="K122" s="47"/>
      <c r="L122" s="34">
        <f>(Table210[[#This Row],[Unit cost]]*Table311[[#This Row],[FX]])+Table210[[#This Row],[Unit cost]]</f>
        <v>0</v>
      </c>
      <c r="M122" s="44">
        <f>I122*Table2[[#This Row],[Unit cost FX]]</f>
        <v>0</v>
      </c>
      <c r="N122" s="47"/>
      <c r="O122" s="37">
        <f>Table2[[#This Row],[Unit cost FX]]*N122+Table2[[#This Row],[Unit cost FX]]</f>
        <v>0</v>
      </c>
      <c r="P122" s="44">
        <f>'H.W&amp;S.W&amp;Services'!$O122*'H.W&amp;S.W&amp;Services'!$I122</f>
        <v>0</v>
      </c>
    </row>
    <row r="123" spans="1:16" ht="15" customHeight="1" x14ac:dyDescent="0.2">
      <c r="A123" s="40"/>
      <c r="B123" s="31"/>
      <c r="C123" s="41"/>
      <c r="D123" s="49"/>
      <c r="E123" s="49"/>
      <c r="F123" s="49"/>
      <c r="G123" s="50"/>
      <c r="H123" s="41"/>
      <c r="I123" s="42"/>
      <c r="J123" s="46"/>
      <c r="K123" s="47"/>
      <c r="L123" s="34">
        <f>(Table210[[#This Row],[Unit cost]]*Table311[[#This Row],[FX]])+Table210[[#This Row],[Unit cost]]</f>
        <v>0</v>
      </c>
      <c r="M123" s="44">
        <f>I123*Table2[[#This Row],[Unit cost FX]]</f>
        <v>0</v>
      </c>
      <c r="N123" s="47"/>
      <c r="O123" s="37">
        <f>Table2[[#This Row],[Unit cost FX]]*N123+Table2[[#This Row],[Unit cost FX]]</f>
        <v>0</v>
      </c>
      <c r="P123" s="44">
        <f>'H.W&amp;S.W&amp;Services'!$O123*'H.W&amp;S.W&amp;Services'!$I123</f>
        <v>0</v>
      </c>
    </row>
    <row r="124" spans="1:16" ht="15" customHeight="1" x14ac:dyDescent="0.2">
      <c r="A124" s="40"/>
      <c r="B124" s="31"/>
      <c r="C124" s="41"/>
      <c r="D124" s="49"/>
      <c r="E124" s="49"/>
      <c r="F124" s="49"/>
      <c r="G124" s="50"/>
      <c r="H124" s="41"/>
      <c r="I124" s="42"/>
      <c r="J124" s="46"/>
      <c r="K124" s="47"/>
      <c r="L124" s="34">
        <f>(Table210[[#This Row],[Unit cost]]*Table311[[#This Row],[FX]])+Table210[[#This Row],[Unit cost]]</f>
        <v>0</v>
      </c>
      <c r="M124" s="44">
        <f>I124*Table2[[#This Row],[Unit cost FX]]</f>
        <v>0</v>
      </c>
      <c r="N124" s="47"/>
      <c r="O124" s="37">
        <f>Table2[[#This Row],[Unit cost FX]]*N124+Table2[[#This Row],[Unit cost FX]]</f>
        <v>0</v>
      </c>
      <c r="P124" s="44">
        <f>'H.W&amp;S.W&amp;Services'!$O124*'H.W&amp;S.W&amp;Services'!$I124</f>
        <v>0</v>
      </c>
    </row>
    <row r="125" spans="1:16" ht="15" customHeight="1" x14ac:dyDescent="0.2">
      <c r="A125" s="40"/>
      <c r="B125" s="31"/>
      <c r="C125" s="41"/>
      <c r="D125" s="49"/>
      <c r="E125" s="49"/>
      <c r="F125" s="49"/>
      <c r="G125" s="50"/>
      <c r="H125" s="41"/>
      <c r="I125" s="42"/>
      <c r="J125" s="46"/>
      <c r="K125" s="47"/>
      <c r="L125" s="34">
        <f>(Table210[[#This Row],[Unit cost]]*Table311[[#This Row],[FX]])+Table210[[#This Row],[Unit cost]]</f>
        <v>0</v>
      </c>
      <c r="M125" s="44">
        <f>I125*Table2[[#This Row],[Unit cost FX]]</f>
        <v>0</v>
      </c>
      <c r="N125" s="47"/>
      <c r="O125" s="37">
        <f>Table2[[#This Row],[Unit cost FX]]*N125+Table2[[#This Row],[Unit cost FX]]</f>
        <v>0</v>
      </c>
      <c r="P125" s="44">
        <f>'H.W&amp;S.W&amp;Services'!$O125*'H.W&amp;S.W&amp;Services'!$I125</f>
        <v>0</v>
      </c>
    </row>
    <row r="126" spans="1:16" ht="15" customHeight="1" x14ac:dyDescent="0.2">
      <c r="A126" s="40"/>
      <c r="B126" s="31"/>
      <c r="C126" s="41"/>
      <c r="D126" s="49"/>
      <c r="E126" s="49"/>
      <c r="F126" s="49"/>
      <c r="G126" s="50"/>
      <c r="H126" s="41"/>
      <c r="I126" s="42"/>
      <c r="J126" s="46"/>
      <c r="K126" s="47"/>
      <c r="L126" s="34">
        <f>(Table210[[#This Row],[Unit cost]]*Table311[[#This Row],[FX]])+Table210[[#This Row],[Unit cost]]</f>
        <v>0</v>
      </c>
      <c r="M126" s="44">
        <f>I126*Table2[[#This Row],[Unit cost FX]]</f>
        <v>0</v>
      </c>
      <c r="N126" s="47"/>
      <c r="O126" s="37">
        <f>Table2[[#This Row],[Unit cost FX]]*N126+Table2[[#This Row],[Unit cost FX]]</f>
        <v>0</v>
      </c>
      <c r="P126" s="44">
        <f>'H.W&amp;S.W&amp;Services'!$O126*'H.W&amp;S.W&amp;Services'!$I126</f>
        <v>0</v>
      </c>
    </row>
    <row r="127" spans="1:16" ht="15" customHeight="1" x14ac:dyDescent="0.2">
      <c r="A127" s="40"/>
      <c r="B127" s="31"/>
      <c r="C127" s="41"/>
      <c r="D127" s="49"/>
      <c r="E127" s="49"/>
      <c r="F127" s="49"/>
      <c r="G127" s="50"/>
      <c r="H127" s="41"/>
      <c r="I127" s="42"/>
      <c r="J127" s="46"/>
      <c r="K127" s="47"/>
      <c r="L127" s="34">
        <f>(Table210[[#This Row],[Unit cost]]*Table311[[#This Row],[FX]])+Table210[[#This Row],[Unit cost]]</f>
        <v>0</v>
      </c>
      <c r="M127" s="44">
        <f>I127*Table2[[#This Row],[Unit cost FX]]</f>
        <v>0</v>
      </c>
      <c r="N127" s="47"/>
      <c r="O127" s="37">
        <f>Table2[[#This Row],[Unit cost FX]]*N127+Table2[[#This Row],[Unit cost FX]]</f>
        <v>0</v>
      </c>
      <c r="P127" s="44">
        <f>'H.W&amp;S.W&amp;Services'!$O127*'H.W&amp;S.W&amp;Services'!$I127</f>
        <v>0</v>
      </c>
    </row>
    <row r="128" spans="1:16" ht="15" customHeight="1" x14ac:dyDescent="0.2">
      <c r="A128" s="40"/>
      <c r="B128" s="31"/>
      <c r="C128" s="41"/>
      <c r="D128" s="49"/>
      <c r="E128" s="49"/>
      <c r="F128" s="49"/>
      <c r="G128" s="50"/>
      <c r="H128" s="41"/>
      <c r="I128" s="42"/>
      <c r="J128" s="46"/>
      <c r="K128" s="47"/>
      <c r="L128" s="34">
        <f>(Table210[[#This Row],[Unit cost]]*Table311[[#This Row],[FX]])+Table210[[#This Row],[Unit cost]]</f>
        <v>0</v>
      </c>
      <c r="M128" s="44">
        <f>I128*Table2[[#This Row],[Unit cost FX]]</f>
        <v>0</v>
      </c>
      <c r="N128" s="47"/>
      <c r="O128" s="37">
        <f>Table2[[#This Row],[Unit cost FX]]*N128+Table2[[#This Row],[Unit cost FX]]</f>
        <v>0</v>
      </c>
      <c r="P128" s="44">
        <f>'H.W&amp;S.W&amp;Services'!$O128*'H.W&amp;S.W&amp;Services'!$I128</f>
        <v>0</v>
      </c>
    </row>
    <row r="129" spans="1:16" ht="15" customHeight="1" x14ac:dyDescent="0.2">
      <c r="A129" s="40"/>
      <c r="B129" s="31"/>
      <c r="C129" s="41"/>
      <c r="D129" s="49"/>
      <c r="E129" s="49"/>
      <c r="F129" s="49"/>
      <c r="G129" s="50"/>
      <c r="H129" s="41"/>
      <c r="I129" s="42"/>
      <c r="J129" s="46"/>
      <c r="K129" s="47"/>
      <c r="L129" s="34">
        <f>(Table210[[#This Row],[Unit cost]]*Table311[[#This Row],[FX]])+Table210[[#This Row],[Unit cost]]</f>
        <v>0</v>
      </c>
      <c r="M129" s="44">
        <f>I129*Table2[[#This Row],[Unit cost FX]]</f>
        <v>0</v>
      </c>
      <c r="N129" s="47"/>
      <c r="O129" s="37">
        <f>Table2[[#This Row],[Unit cost FX]]*N129+Table2[[#This Row],[Unit cost FX]]</f>
        <v>0</v>
      </c>
      <c r="P129" s="44">
        <f>'H.W&amp;S.W&amp;Services'!$O129*'H.W&amp;S.W&amp;Services'!$I129</f>
        <v>0</v>
      </c>
    </row>
    <row r="130" spans="1:16" ht="15" customHeight="1" x14ac:dyDescent="0.2">
      <c r="A130" s="40"/>
      <c r="B130" s="31"/>
      <c r="C130" s="41"/>
      <c r="D130" s="49"/>
      <c r="E130" s="49"/>
      <c r="F130" s="49"/>
      <c r="G130" s="50"/>
      <c r="H130" s="41"/>
      <c r="I130" s="42"/>
      <c r="J130" s="46"/>
      <c r="K130" s="47"/>
      <c r="L130" s="34">
        <f>(Table210[[#This Row],[Unit cost]]*Table311[[#This Row],[FX]])+Table210[[#This Row],[Unit cost]]</f>
        <v>0</v>
      </c>
      <c r="M130" s="44">
        <f>I130*Table2[[#This Row],[Unit cost FX]]</f>
        <v>0</v>
      </c>
      <c r="N130" s="47"/>
      <c r="O130" s="37">
        <f>Table2[[#This Row],[Unit cost FX]]*N130+Table2[[#This Row],[Unit cost FX]]</f>
        <v>0</v>
      </c>
      <c r="P130" s="44">
        <f>'H.W&amp;S.W&amp;Services'!$O130*'H.W&amp;S.W&amp;Services'!$I130</f>
        <v>0</v>
      </c>
    </row>
    <row r="131" spans="1:16" ht="15" customHeight="1" x14ac:dyDescent="0.2">
      <c r="A131" s="40"/>
      <c r="B131" s="31"/>
      <c r="C131" s="41"/>
      <c r="D131" s="49"/>
      <c r="E131" s="49"/>
      <c r="F131" s="49"/>
      <c r="G131" s="50"/>
      <c r="H131" s="41"/>
      <c r="I131" s="42"/>
      <c r="J131" s="46"/>
      <c r="K131" s="47"/>
      <c r="L131" s="34">
        <f>(Table210[[#This Row],[Unit cost]]*Table311[[#This Row],[FX]])+Table210[[#This Row],[Unit cost]]</f>
        <v>0</v>
      </c>
      <c r="M131" s="44">
        <f>I131*Table2[[#This Row],[Unit cost FX]]</f>
        <v>0</v>
      </c>
      <c r="N131" s="47"/>
      <c r="O131" s="37">
        <f>Table2[[#This Row],[Unit cost FX]]*N131+Table2[[#This Row],[Unit cost FX]]</f>
        <v>0</v>
      </c>
      <c r="P131" s="44">
        <f>'H.W&amp;S.W&amp;Services'!$O131*'H.W&amp;S.W&amp;Services'!$I131</f>
        <v>0</v>
      </c>
    </row>
    <row r="132" spans="1:16" ht="15" customHeight="1" x14ac:dyDescent="0.2">
      <c r="A132" s="40"/>
      <c r="B132" s="31"/>
      <c r="C132" s="41"/>
      <c r="D132" s="49"/>
      <c r="E132" s="49"/>
      <c r="F132" s="49"/>
      <c r="G132" s="50"/>
      <c r="H132" s="41"/>
      <c r="I132" s="42"/>
      <c r="J132" s="46"/>
      <c r="K132" s="47"/>
      <c r="L132" s="34">
        <f>(Table210[[#This Row],[Unit cost]]*Table311[[#This Row],[FX]])+Table210[[#This Row],[Unit cost]]</f>
        <v>0</v>
      </c>
      <c r="M132" s="44">
        <f>I132*Table2[[#This Row],[Unit cost FX]]</f>
        <v>0</v>
      </c>
      <c r="N132" s="47"/>
      <c r="O132" s="37">
        <f>Table2[[#This Row],[Unit cost FX]]*N132+Table2[[#This Row],[Unit cost FX]]</f>
        <v>0</v>
      </c>
      <c r="P132" s="44">
        <f>'H.W&amp;S.W&amp;Services'!$O132*'H.W&amp;S.W&amp;Services'!$I132</f>
        <v>0</v>
      </c>
    </row>
    <row r="133" spans="1:16" ht="15" customHeight="1" x14ac:dyDescent="0.2">
      <c r="A133" s="40"/>
      <c r="B133" s="31"/>
      <c r="C133" s="41"/>
      <c r="D133" s="49"/>
      <c r="E133" s="49"/>
      <c r="F133" s="49"/>
      <c r="G133" s="50"/>
      <c r="H133" s="41"/>
      <c r="I133" s="42"/>
      <c r="J133" s="46"/>
      <c r="K133" s="47"/>
      <c r="L133" s="34">
        <f>(Table210[[#This Row],[Unit cost]]*Table311[[#This Row],[FX]])+Table210[[#This Row],[Unit cost]]</f>
        <v>0</v>
      </c>
      <c r="M133" s="44">
        <f>I133*Table2[[#This Row],[Unit cost FX]]</f>
        <v>0</v>
      </c>
      <c r="N133" s="47"/>
      <c r="O133" s="37">
        <f>Table2[[#This Row],[Unit cost FX]]*N133+Table2[[#This Row],[Unit cost FX]]</f>
        <v>0</v>
      </c>
      <c r="P133" s="44">
        <f>'H.W&amp;S.W&amp;Services'!$O133*'H.W&amp;S.W&amp;Services'!$I133</f>
        <v>0</v>
      </c>
    </row>
    <row r="134" spans="1:16" ht="15" customHeight="1" x14ac:dyDescent="0.2">
      <c r="A134" s="40"/>
      <c r="B134" s="31"/>
      <c r="C134" s="41"/>
      <c r="D134" s="49"/>
      <c r="E134" s="49"/>
      <c r="F134" s="49"/>
      <c r="G134" s="50"/>
      <c r="H134" s="41"/>
      <c r="I134" s="42"/>
      <c r="J134" s="46"/>
      <c r="K134" s="47"/>
      <c r="L134" s="34">
        <f>(Table210[[#This Row],[Unit cost]]*Table311[[#This Row],[FX]])+Table210[[#This Row],[Unit cost]]</f>
        <v>0</v>
      </c>
      <c r="M134" s="44">
        <f>I134*Table2[[#This Row],[Unit cost FX]]</f>
        <v>0</v>
      </c>
      <c r="N134" s="47"/>
      <c r="O134" s="37">
        <f>Table2[[#This Row],[Unit cost FX]]*N134+Table2[[#This Row],[Unit cost FX]]</f>
        <v>0</v>
      </c>
      <c r="P134" s="44">
        <f>'H.W&amp;S.W&amp;Services'!$O134*'H.W&amp;S.W&amp;Services'!$I134</f>
        <v>0</v>
      </c>
    </row>
    <row r="135" spans="1:16" ht="15" customHeight="1" x14ac:dyDescent="0.2">
      <c r="A135" s="40"/>
      <c r="B135" s="31"/>
      <c r="C135" s="41"/>
      <c r="D135" s="49"/>
      <c r="E135" s="49"/>
      <c r="F135" s="49"/>
      <c r="G135" s="50"/>
      <c r="H135" s="41"/>
      <c r="I135" s="42"/>
      <c r="J135" s="46"/>
      <c r="K135" s="47"/>
      <c r="L135" s="34">
        <f>(Table210[[#This Row],[Unit cost]]*Table311[[#This Row],[FX]])+Table210[[#This Row],[Unit cost]]</f>
        <v>0</v>
      </c>
      <c r="M135" s="44">
        <f>I135*Table2[[#This Row],[Unit cost FX]]</f>
        <v>0</v>
      </c>
      <c r="N135" s="47"/>
      <c r="O135" s="37">
        <f>Table2[[#This Row],[Unit cost FX]]*N135+Table2[[#This Row],[Unit cost FX]]</f>
        <v>0</v>
      </c>
      <c r="P135" s="44">
        <f>'H.W&amp;S.W&amp;Services'!$O135*'H.W&amp;S.W&amp;Services'!$I135</f>
        <v>0</v>
      </c>
    </row>
    <row r="136" spans="1:16" ht="15" customHeight="1" x14ac:dyDescent="0.2">
      <c r="A136" s="40"/>
      <c r="B136" s="31"/>
      <c r="C136" s="41"/>
      <c r="D136" s="49"/>
      <c r="E136" s="49"/>
      <c r="F136" s="49"/>
      <c r="G136" s="50"/>
      <c r="H136" s="41"/>
      <c r="I136" s="42"/>
      <c r="J136" s="46"/>
      <c r="K136" s="47"/>
      <c r="L136" s="34">
        <f>(Table210[[#This Row],[Unit cost]]*Table311[[#This Row],[FX]])+Table210[[#This Row],[Unit cost]]</f>
        <v>0</v>
      </c>
      <c r="M136" s="44">
        <f>I136*Table2[[#This Row],[Unit cost FX]]</f>
        <v>0</v>
      </c>
      <c r="N136" s="47"/>
      <c r="O136" s="37">
        <f>Table2[[#This Row],[Unit cost FX]]*N136+Table2[[#This Row],[Unit cost FX]]</f>
        <v>0</v>
      </c>
      <c r="P136" s="44">
        <f>'H.W&amp;S.W&amp;Services'!$O136*'H.W&amp;S.W&amp;Services'!$I136</f>
        <v>0</v>
      </c>
    </row>
    <row r="137" spans="1:16" ht="15" customHeight="1" x14ac:dyDescent="0.2">
      <c r="A137" s="40"/>
      <c r="B137" s="31"/>
      <c r="C137" s="41"/>
      <c r="D137" s="49"/>
      <c r="E137" s="49"/>
      <c r="F137" s="49"/>
      <c r="G137" s="50"/>
      <c r="H137" s="41"/>
      <c r="I137" s="42"/>
      <c r="J137" s="46"/>
      <c r="K137" s="47"/>
      <c r="L137" s="34">
        <f>(Table210[[#This Row],[Unit cost]]*Table311[[#This Row],[FX]])+Table210[[#This Row],[Unit cost]]</f>
        <v>0</v>
      </c>
      <c r="M137" s="44">
        <f>I137*Table2[[#This Row],[Unit cost FX]]</f>
        <v>0</v>
      </c>
      <c r="N137" s="47"/>
      <c r="O137" s="37">
        <f>Table2[[#This Row],[Unit cost FX]]*N137+Table2[[#This Row],[Unit cost FX]]</f>
        <v>0</v>
      </c>
      <c r="P137" s="44">
        <f>'H.W&amp;S.W&amp;Services'!$O137*'H.W&amp;S.W&amp;Services'!$I137</f>
        <v>0</v>
      </c>
    </row>
    <row r="138" spans="1:16" ht="15" customHeight="1" x14ac:dyDescent="0.2">
      <c r="A138" s="40"/>
      <c r="B138" s="31"/>
      <c r="C138" s="41"/>
      <c r="D138" s="49"/>
      <c r="E138" s="49"/>
      <c r="F138" s="49"/>
      <c r="G138" s="50"/>
      <c r="H138" s="41"/>
      <c r="I138" s="42"/>
      <c r="J138" s="46"/>
      <c r="K138" s="47"/>
      <c r="L138" s="34">
        <f>(Table210[[#This Row],[Unit cost]]*Table311[[#This Row],[FX]])+Table210[[#This Row],[Unit cost]]</f>
        <v>0</v>
      </c>
      <c r="M138" s="44">
        <f>I138*Table2[[#This Row],[Unit cost FX]]</f>
        <v>0</v>
      </c>
      <c r="N138" s="47"/>
      <c r="O138" s="37">
        <f>Table2[[#This Row],[Unit cost FX]]*N138+Table2[[#This Row],[Unit cost FX]]</f>
        <v>0</v>
      </c>
      <c r="P138" s="44">
        <f>'H.W&amp;S.W&amp;Services'!$O138*'H.W&amp;S.W&amp;Services'!$I138</f>
        <v>0</v>
      </c>
    </row>
    <row r="139" spans="1:16" ht="15" customHeight="1" x14ac:dyDescent="0.2">
      <c r="A139" s="40"/>
      <c r="B139" s="31"/>
      <c r="C139" s="41"/>
      <c r="D139" s="49"/>
      <c r="E139" s="49"/>
      <c r="F139" s="49"/>
      <c r="G139" s="50"/>
      <c r="H139" s="41"/>
      <c r="I139" s="42"/>
      <c r="J139" s="46"/>
      <c r="K139" s="47"/>
      <c r="L139" s="34">
        <f>(Table210[[#This Row],[Unit cost]]*Table311[[#This Row],[FX]])+Table210[[#This Row],[Unit cost]]</f>
        <v>0</v>
      </c>
      <c r="M139" s="44">
        <f>I139*Table2[[#This Row],[Unit cost FX]]</f>
        <v>0</v>
      </c>
      <c r="N139" s="47"/>
      <c r="O139" s="37">
        <f>Table2[[#This Row],[Unit cost FX]]*N139+Table2[[#This Row],[Unit cost FX]]</f>
        <v>0</v>
      </c>
      <c r="P139" s="44">
        <f>'H.W&amp;S.W&amp;Services'!$O139*'H.W&amp;S.W&amp;Services'!$I139</f>
        <v>0</v>
      </c>
    </row>
    <row r="140" spans="1:16" ht="15" customHeight="1" x14ac:dyDescent="0.2">
      <c r="A140" s="40"/>
      <c r="B140" s="31"/>
      <c r="C140" s="41"/>
      <c r="D140" s="49"/>
      <c r="E140" s="49"/>
      <c r="F140" s="49"/>
      <c r="G140" s="50"/>
      <c r="H140" s="41"/>
      <c r="I140" s="42"/>
      <c r="J140" s="46"/>
      <c r="K140" s="47"/>
      <c r="L140" s="34">
        <f>(Table210[[#This Row],[Unit cost]]*Table311[[#This Row],[FX]])+Table210[[#This Row],[Unit cost]]</f>
        <v>0</v>
      </c>
      <c r="M140" s="44">
        <f>I140*Table2[[#This Row],[Unit cost FX]]</f>
        <v>0</v>
      </c>
      <c r="N140" s="47"/>
      <c r="O140" s="37">
        <f>Table2[[#This Row],[Unit cost FX]]*N140+Table2[[#This Row],[Unit cost FX]]</f>
        <v>0</v>
      </c>
      <c r="P140" s="44">
        <f>'H.W&amp;S.W&amp;Services'!$O140*'H.W&amp;S.W&amp;Services'!$I140</f>
        <v>0</v>
      </c>
    </row>
    <row r="141" spans="1:16" ht="15" customHeight="1" x14ac:dyDescent="0.2">
      <c r="A141" s="40"/>
      <c r="B141" s="31"/>
      <c r="C141" s="41"/>
      <c r="D141" s="49"/>
      <c r="E141" s="49"/>
      <c r="F141" s="49"/>
      <c r="G141" s="50"/>
      <c r="H141" s="41"/>
      <c r="I141" s="42"/>
      <c r="J141" s="46"/>
      <c r="K141" s="47"/>
      <c r="L141" s="34">
        <f>(Table210[[#This Row],[Unit cost]]*Table311[[#This Row],[FX]])+Table210[[#This Row],[Unit cost]]</f>
        <v>0</v>
      </c>
      <c r="M141" s="44">
        <f>I141*Table2[[#This Row],[Unit cost FX]]</f>
        <v>0</v>
      </c>
      <c r="N141" s="47"/>
      <c r="O141" s="37">
        <f>Table2[[#This Row],[Unit cost FX]]*N141+Table2[[#This Row],[Unit cost FX]]</f>
        <v>0</v>
      </c>
      <c r="P141" s="44">
        <f>'H.W&amp;S.W&amp;Services'!$O141*'H.W&amp;S.W&amp;Services'!$I141</f>
        <v>0</v>
      </c>
    </row>
    <row r="142" spans="1:16" ht="15" customHeight="1" x14ac:dyDescent="0.2">
      <c r="A142" s="40"/>
      <c r="B142" s="31"/>
      <c r="C142" s="41"/>
      <c r="D142" s="49"/>
      <c r="E142" s="49"/>
      <c r="F142" s="49"/>
      <c r="G142" s="50"/>
      <c r="H142" s="41"/>
      <c r="I142" s="42"/>
      <c r="J142" s="46"/>
      <c r="K142" s="47"/>
      <c r="L142" s="34">
        <f>(Table210[[#This Row],[Unit cost]]*Table311[[#This Row],[FX]])+Table210[[#This Row],[Unit cost]]</f>
        <v>0</v>
      </c>
      <c r="M142" s="44">
        <f>I142*Table2[[#This Row],[Unit cost FX]]</f>
        <v>0</v>
      </c>
      <c r="N142" s="47"/>
      <c r="O142" s="37">
        <f>Table2[[#This Row],[Unit cost FX]]*N142+Table2[[#This Row],[Unit cost FX]]</f>
        <v>0</v>
      </c>
      <c r="P142" s="44">
        <f>'H.W&amp;S.W&amp;Services'!$O142*'H.W&amp;S.W&amp;Services'!$I142</f>
        <v>0</v>
      </c>
    </row>
    <row r="143" spans="1:16" ht="15" customHeight="1" x14ac:dyDescent="0.2">
      <c r="A143" s="40"/>
      <c r="B143" s="31"/>
      <c r="C143" s="41"/>
      <c r="D143" s="49"/>
      <c r="E143" s="49"/>
      <c r="F143" s="49"/>
      <c r="G143" s="50"/>
      <c r="H143" s="41"/>
      <c r="I143" s="42"/>
      <c r="J143" s="46"/>
      <c r="K143" s="47"/>
      <c r="L143" s="34">
        <f>(Table210[[#This Row],[Unit cost]]*Table311[[#This Row],[FX]])+Table210[[#This Row],[Unit cost]]</f>
        <v>0</v>
      </c>
      <c r="M143" s="44">
        <f>I143*Table2[[#This Row],[Unit cost FX]]</f>
        <v>0</v>
      </c>
      <c r="N143" s="47"/>
      <c r="O143" s="37">
        <f>Table2[[#This Row],[Unit cost FX]]*N143+Table2[[#This Row],[Unit cost FX]]</f>
        <v>0</v>
      </c>
      <c r="P143" s="44">
        <f>'H.W&amp;S.W&amp;Services'!$O143*'H.W&amp;S.W&amp;Services'!$I143</f>
        <v>0</v>
      </c>
    </row>
    <row r="144" spans="1:16" ht="15" customHeight="1" x14ac:dyDescent="0.2">
      <c r="A144" s="40"/>
      <c r="B144" s="31"/>
      <c r="C144" s="41"/>
      <c r="D144" s="49"/>
      <c r="E144" s="49"/>
      <c r="F144" s="49"/>
      <c r="G144" s="50"/>
      <c r="H144" s="41"/>
      <c r="I144" s="42"/>
      <c r="J144" s="46"/>
      <c r="K144" s="47"/>
      <c r="L144" s="34">
        <f>(Table210[[#This Row],[Unit cost]]*Table311[[#This Row],[FX]])+Table210[[#This Row],[Unit cost]]</f>
        <v>0</v>
      </c>
      <c r="M144" s="44">
        <f>I144*Table2[[#This Row],[Unit cost FX]]</f>
        <v>0</v>
      </c>
      <c r="N144" s="47"/>
      <c r="O144" s="37">
        <f>Table2[[#This Row],[Unit cost FX]]*N144+Table2[[#This Row],[Unit cost FX]]</f>
        <v>0</v>
      </c>
      <c r="P144" s="44">
        <f>'H.W&amp;S.W&amp;Services'!$O144*'H.W&amp;S.W&amp;Services'!$I144</f>
        <v>0</v>
      </c>
    </row>
    <row r="145" spans="1:16" ht="15" customHeight="1" x14ac:dyDescent="0.2">
      <c r="A145" s="40"/>
      <c r="B145" s="31"/>
      <c r="C145" s="41"/>
      <c r="D145" s="49"/>
      <c r="E145" s="49"/>
      <c r="F145" s="49"/>
      <c r="G145" s="50"/>
      <c r="H145" s="41"/>
      <c r="I145" s="42"/>
      <c r="J145" s="46"/>
      <c r="K145" s="47"/>
      <c r="L145" s="34">
        <f>(Table210[[#This Row],[Unit cost]]*Table311[[#This Row],[FX]])+Table210[[#This Row],[Unit cost]]</f>
        <v>0</v>
      </c>
      <c r="M145" s="44">
        <f>I145*Table2[[#This Row],[Unit cost FX]]</f>
        <v>0</v>
      </c>
      <c r="N145" s="47"/>
      <c r="O145" s="37">
        <f>Table2[[#This Row],[Unit cost FX]]*N145+Table2[[#This Row],[Unit cost FX]]</f>
        <v>0</v>
      </c>
      <c r="P145" s="44">
        <f>'H.W&amp;S.W&amp;Services'!$O145*'H.W&amp;S.W&amp;Services'!$I145</f>
        <v>0</v>
      </c>
    </row>
    <row r="146" spans="1:16" ht="15" customHeight="1" x14ac:dyDescent="0.2">
      <c r="A146" s="40"/>
      <c r="B146" s="31"/>
      <c r="C146" s="41"/>
      <c r="D146" s="49"/>
      <c r="E146" s="49"/>
      <c r="F146" s="49"/>
      <c r="G146" s="50"/>
      <c r="H146" s="41"/>
      <c r="I146" s="42"/>
      <c r="J146" s="46"/>
      <c r="K146" s="47"/>
      <c r="L146" s="34">
        <f>(Table210[[#This Row],[Unit cost]]*Table311[[#This Row],[FX]])+Table210[[#This Row],[Unit cost]]</f>
        <v>0</v>
      </c>
      <c r="M146" s="44">
        <f>I146*Table2[[#This Row],[Unit cost FX]]</f>
        <v>0</v>
      </c>
      <c r="N146" s="47"/>
      <c r="O146" s="37">
        <f>Table2[[#This Row],[Unit cost FX]]*N146+Table2[[#This Row],[Unit cost FX]]</f>
        <v>0</v>
      </c>
      <c r="P146" s="44">
        <f>'H.W&amp;S.W&amp;Services'!$O146*'H.W&amp;S.W&amp;Services'!$I146</f>
        <v>0</v>
      </c>
    </row>
    <row r="147" spans="1:16" ht="15" customHeight="1" x14ac:dyDescent="0.2">
      <c r="A147" s="40"/>
      <c r="B147" s="31"/>
      <c r="C147" s="41"/>
      <c r="D147" s="49"/>
      <c r="E147" s="49"/>
      <c r="F147" s="49"/>
      <c r="G147" s="50"/>
      <c r="H147" s="41"/>
      <c r="I147" s="42"/>
      <c r="J147" s="46"/>
      <c r="K147" s="47"/>
      <c r="L147" s="34">
        <f>(Table210[[#This Row],[Unit cost]]*Table311[[#This Row],[FX]])+Table210[[#This Row],[Unit cost]]</f>
        <v>0</v>
      </c>
      <c r="M147" s="44">
        <f>I147*Table2[[#This Row],[Unit cost FX]]</f>
        <v>0</v>
      </c>
      <c r="N147" s="47"/>
      <c r="O147" s="37">
        <f>Table2[[#This Row],[Unit cost FX]]*N147+Table2[[#This Row],[Unit cost FX]]</f>
        <v>0</v>
      </c>
      <c r="P147" s="44">
        <f>'H.W&amp;S.W&amp;Services'!$O147*'H.W&amp;S.W&amp;Services'!$I147</f>
        <v>0</v>
      </c>
    </row>
    <row r="148" spans="1:16" ht="15" customHeight="1" x14ac:dyDescent="0.2">
      <c r="A148" s="40"/>
      <c r="B148" s="31"/>
      <c r="C148" s="41"/>
      <c r="D148" s="49"/>
      <c r="E148" s="49"/>
      <c r="F148" s="49"/>
      <c r="G148" s="50"/>
      <c r="H148" s="41"/>
      <c r="I148" s="42"/>
      <c r="J148" s="46"/>
      <c r="K148" s="47"/>
      <c r="L148" s="34">
        <f>(Table210[[#This Row],[Unit cost]]*Table311[[#This Row],[FX]])+Table210[[#This Row],[Unit cost]]</f>
        <v>0</v>
      </c>
      <c r="M148" s="44">
        <f>I148*Table2[[#This Row],[Unit cost FX]]</f>
        <v>0</v>
      </c>
      <c r="N148" s="47"/>
      <c r="O148" s="37">
        <f>Table2[[#This Row],[Unit cost FX]]*N148+Table2[[#This Row],[Unit cost FX]]</f>
        <v>0</v>
      </c>
      <c r="P148" s="44">
        <f>'H.W&amp;S.W&amp;Services'!$O148*'H.W&amp;S.W&amp;Services'!$I148</f>
        <v>0</v>
      </c>
    </row>
    <row r="149" spans="1:16" ht="15" customHeight="1" x14ac:dyDescent="0.2">
      <c r="A149" s="40"/>
      <c r="B149" s="31"/>
      <c r="C149" s="41"/>
      <c r="D149" s="49"/>
      <c r="E149" s="49"/>
      <c r="F149" s="49"/>
      <c r="G149" s="50"/>
      <c r="H149" s="41"/>
      <c r="I149" s="42"/>
      <c r="J149" s="46"/>
      <c r="K149" s="47"/>
      <c r="L149" s="34">
        <f>(Table210[[#This Row],[Unit cost]]*Table311[[#This Row],[FX]])+Table210[[#This Row],[Unit cost]]</f>
        <v>0</v>
      </c>
      <c r="M149" s="44">
        <f>I149*Table2[[#This Row],[Unit cost FX]]</f>
        <v>0</v>
      </c>
      <c r="N149" s="47"/>
      <c r="O149" s="37">
        <f>Table2[[#This Row],[Unit cost FX]]*N149+Table2[[#This Row],[Unit cost FX]]</f>
        <v>0</v>
      </c>
      <c r="P149" s="44">
        <f>'H.W&amp;S.W&amp;Services'!$O149*'H.W&amp;S.W&amp;Services'!$I149</f>
        <v>0</v>
      </c>
    </row>
    <row r="150" spans="1:16" ht="15" customHeight="1" x14ac:dyDescent="0.2">
      <c r="A150" s="40"/>
      <c r="B150" s="31"/>
      <c r="C150" s="41"/>
      <c r="D150" s="49"/>
      <c r="E150" s="49"/>
      <c r="F150" s="49"/>
      <c r="G150" s="50"/>
      <c r="H150" s="41"/>
      <c r="I150" s="42"/>
      <c r="J150" s="46"/>
      <c r="K150" s="47"/>
      <c r="L150" s="34">
        <f>(Table210[[#This Row],[Unit cost]]*Table311[[#This Row],[FX]])+Table210[[#This Row],[Unit cost]]</f>
        <v>0</v>
      </c>
      <c r="M150" s="44">
        <f>I150*Table2[[#This Row],[Unit cost FX]]</f>
        <v>0</v>
      </c>
      <c r="N150" s="47"/>
      <c r="O150" s="37">
        <f>Table2[[#This Row],[Unit cost FX]]*N150+Table2[[#This Row],[Unit cost FX]]</f>
        <v>0</v>
      </c>
      <c r="P150" s="44">
        <f>'H.W&amp;S.W&amp;Services'!$O150*'H.W&amp;S.W&amp;Services'!$I150</f>
        <v>0</v>
      </c>
    </row>
    <row r="151" spans="1:16" ht="15" customHeight="1" x14ac:dyDescent="0.2">
      <c r="A151" s="40"/>
      <c r="B151" s="31"/>
      <c r="C151" s="41"/>
      <c r="D151" s="49"/>
      <c r="E151" s="49"/>
      <c r="F151" s="49"/>
      <c r="G151" s="50"/>
      <c r="H151" s="41"/>
      <c r="I151" s="42"/>
      <c r="J151" s="46"/>
      <c r="K151" s="47"/>
      <c r="L151" s="34">
        <f>(Table210[[#This Row],[Unit cost]]*Table311[[#This Row],[FX]])+Table210[[#This Row],[Unit cost]]</f>
        <v>0</v>
      </c>
      <c r="M151" s="44">
        <f>I151*Table2[[#This Row],[Unit cost FX]]</f>
        <v>0</v>
      </c>
      <c r="N151" s="47"/>
      <c r="O151" s="37">
        <f>Table2[[#This Row],[Unit cost FX]]*N151+Table2[[#This Row],[Unit cost FX]]</f>
        <v>0</v>
      </c>
      <c r="P151" s="44">
        <f>'H.W&amp;S.W&amp;Services'!$O151*'H.W&amp;S.W&amp;Services'!$I151</f>
        <v>0</v>
      </c>
    </row>
    <row r="152" spans="1:16" ht="15" customHeight="1" x14ac:dyDescent="0.2">
      <c r="A152" s="40"/>
      <c r="B152" s="31"/>
      <c r="C152" s="41"/>
      <c r="D152" s="49"/>
      <c r="E152" s="49"/>
      <c r="F152" s="49"/>
      <c r="G152" s="50"/>
      <c r="H152" s="41"/>
      <c r="I152" s="42"/>
      <c r="J152" s="46"/>
      <c r="K152" s="47"/>
      <c r="L152" s="34">
        <f>(Table210[[#This Row],[Unit cost]]*Table311[[#This Row],[FX]])+Table210[[#This Row],[Unit cost]]</f>
        <v>0</v>
      </c>
      <c r="M152" s="44">
        <f>I152*Table2[[#This Row],[Unit cost FX]]</f>
        <v>0</v>
      </c>
      <c r="N152" s="47"/>
      <c r="O152" s="37">
        <f>Table2[[#This Row],[Unit cost FX]]*N152+Table2[[#This Row],[Unit cost FX]]</f>
        <v>0</v>
      </c>
      <c r="P152" s="44">
        <f>'H.W&amp;S.W&amp;Services'!$O152*'H.W&amp;S.W&amp;Services'!$I152</f>
        <v>0</v>
      </c>
    </row>
    <row r="153" spans="1:16" ht="15" customHeight="1" x14ac:dyDescent="0.2">
      <c r="A153" s="40"/>
      <c r="B153" s="31"/>
      <c r="C153" s="41"/>
      <c r="D153" s="49"/>
      <c r="E153" s="49"/>
      <c r="F153" s="49"/>
      <c r="G153" s="50"/>
      <c r="H153" s="41"/>
      <c r="I153" s="42"/>
      <c r="J153" s="46"/>
      <c r="K153" s="47"/>
      <c r="L153" s="34">
        <f>(Table210[[#This Row],[Unit cost]]*Table311[[#This Row],[FX]])+Table210[[#This Row],[Unit cost]]</f>
        <v>0</v>
      </c>
      <c r="M153" s="44">
        <f>I153*Table2[[#This Row],[Unit cost FX]]</f>
        <v>0</v>
      </c>
      <c r="N153" s="47"/>
      <c r="O153" s="37">
        <f>Table2[[#This Row],[Unit cost FX]]*N153+Table2[[#This Row],[Unit cost FX]]</f>
        <v>0</v>
      </c>
      <c r="P153" s="44">
        <f>'H.W&amp;S.W&amp;Services'!$O153*'H.W&amp;S.W&amp;Services'!$I153</f>
        <v>0</v>
      </c>
    </row>
    <row r="154" spans="1:16" ht="15" customHeight="1" x14ac:dyDescent="0.2">
      <c r="A154" s="40"/>
      <c r="B154" s="31"/>
      <c r="C154" s="41"/>
      <c r="D154" s="49"/>
      <c r="E154" s="49"/>
      <c r="F154" s="49"/>
      <c r="G154" s="50"/>
      <c r="H154" s="41"/>
      <c r="I154" s="42"/>
      <c r="J154" s="46"/>
      <c r="K154" s="47"/>
      <c r="L154" s="34">
        <f>(Table210[[#This Row],[Unit cost]]*Table311[[#This Row],[FX]])+Table210[[#This Row],[Unit cost]]</f>
        <v>0</v>
      </c>
      <c r="M154" s="44">
        <f>I154*Table2[[#This Row],[Unit cost FX]]</f>
        <v>0</v>
      </c>
      <c r="N154" s="47"/>
      <c r="O154" s="37">
        <f>Table2[[#This Row],[Unit cost FX]]*N154+Table2[[#This Row],[Unit cost FX]]</f>
        <v>0</v>
      </c>
      <c r="P154" s="44">
        <f>'H.W&amp;S.W&amp;Services'!$O154*'H.W&amp;S.W&amp;Services'!$I154</f>
        <v>0</v>
      </c>
    </row>
    <row r="155" spans="1:16" ht="15" customHeight="1" x14ac:dyDescent="0.2">
      <c r="A155" s="40"/>
      <c r="B155" s="31"/>
      <c r="C155" s="41"/>
      <c r="D155" s="49"/>
      <c r="E155" s="49"/>
      <c r="F155" s="49"/>
      <c r="G155" s="50"/>
      <c r="H155" s="41"/>
      <c r="I155" s="42"/>
      <c r="J155" s="46"/>
      <c r="K155" s="47"/>
      <c r="L155" s="34">
        <f>(Table210[[#This Row],[Unit cost]]*Table311[[#This Row],[FX]])+Table210[[#This Row],[Unit cost]]</f>
        <v>0</v>
      </c>
      <c r="M155" s="44">
        <f>I155*Table2[[#This Row],[Unit cost FX]]</f>
        <v>0</v>
      </c>
      <c r="N155" s="47"/>
      <c r="O155" s="37">
        <f>Table2[[#This Row],[Unit cost FX]]*N155+Table2[[#This Row],[Unit cost FX]]</f>
        <v>0</v>
      </c>
      <c r="P155" s="44">
        <f>'H.W&amp;S.W&amp;Services'!$O155*'H.W&amp;S.W&amp;Services'!$I155</f>
        <v>0</v>
      </c>
    </row>
    <row r="156" spans="1:16" ht="15" customHeight="1" x14ac:dyDescent="0.2">
      <c r="A156" s="40"/>
      <c r="B156" s="31"/>
      <c r="C156" s="41"/>
      <c r="D156" s="49"/>
      <c r="E156" s="49"/>
      <c r="F156" s="49"/>
      <c r="G156" s="50"/>
      <c r="H156" s="41"/>
      <c r="I156" s="42"/>
      <c r="J156" s="46"/>
      <c r="K156" s="47"/>
      <c r="L156" s="34">
        <f>(Table210[[#This Row],[Unit cost]]*Table311[[#This Row],[FX]])+Table210[[#This Row],[Unit cost]]</f>
        <v>0</v>
      </c>
      <c r="M156" s="44">
        <f>I156*Table2[[#This Row],[Unit cost FX]]</f>
        <v>0</v>
      </c>
      <c r="N156" s="47"/>
      <c r="O156" s="37">
        <f>Table2[[#This Row],[Unit cost FX]]*N156+Table2[[#This Row],[Unit cost FX]]</f>
        <v>0</v>
      </c>
      <c r="P156" s="44">
        <f>'H.W&amp;S.W&amp;Services'!$O156*'H.W&amp;S.W&amp;Services'!$I156</f>
        <v>0</v>
      </c>
    </row>
    <row r="157" spans="1:16" ht="15" customHeight="1" x14ac:dyDescent="0.2">
      <c r="A157" s="40"/>
      <c r="B157" s="31"/>
      <c r="C157" s="41"/>
      <c r="D157" s="49"/>
      <c r="E157" s="49"/>
      <c r="F157" s="49"/>
      <c r="G157" s="50"/>
      <c r="H157" s="41"/>
      <c r="I157" s="42"/>
      <c r="J157" s="46"/>
      <c r="K157" s="47"/>
      <c r="L157" s="34">
        <f>(Table210[[#This Row],[Unit cost]]*Table311[[#This Row],[FX]])+Table210[[#This Row],[Unit cost]]</f>
        <v>0</v>
      </c>
      <c r="M157" s="44">
        <f>I157*Table2[[#This Row],[Unit cost FX]]</f>
        <v>0</v>
      </c>
      <c r="N157" s="47"/>
      <c r="O157" s="37">
        <f>Table2[[#This Row],[Unit cost FX]]*N157+Table2[[#This Row],[Unit cost FX]]</f>
        <v>0</v>
      </c>
      <c r="P157" s="44">
        <f>'H.W&amp;S.W&amp;Services'!$O157*'H.W&amp;S.W&amp;Services'!$I157</f>
        <v>0</v>
      </c>
    </row>
    <row r="158" spans="1:16" ht="15" customHeight="1" x14ac:dyDescent="0.2">
      <c r="A158" s="40"/>
      <c r="B158" s="31"/>
      <c r="C158" s="41"/>
      <c r="D158" s="49"/>
      <c r="E158" s="49"/>
      <c r="F158" s="49"/>
      <c r="G158" s="50"/>
      <c r="H158" s="41"/>
      <c r="I158" s="42"/>
      <c r="J158" s="46"/>
      <c r="K158" s="47"/>
      <c r="L158" s="34">
        <f>(Table210[[#This Row],[Unit cost]]*Table311[[#This Row],[FX]])+Table210[[#This Row],[Unit cost]]</f>
        <v>0</v>
      </c>
      <c r="M158" s="44">
        <f>I158*Table2[[#This Row],[Unit cost FX]]</f>
        <v>0</v>
      </c>
      <c r="N158" s="47"/>
      <c r="O158" s="37">
        <f>Table2[[#This Row],[Unit cost FX]]*N158+Table2[[#This Row],[Unit cost FX]]</f>
        <v>0</v>
      </c>
      <c r="P158" s="44">
        <f>'H.W&amp;S.W&amp;Services'!$O158*'H.W&amp;S.W&amp;Services'!$I158</f>
        <v>0</v>
      </c>
    </row>
    <row r="159" spans="1:16" ht="15" customHeight="1" x14ac:dyDescent="0.2">
      <c r="A159" s="40"/>
      <c r="B159" s="31"/>
      <c r="C159" s="41"/>
      <c r="D159" s="49"/>
      <c r="E159" s="49"/>
      <c r="F159" s="49"/>
      <c r="G159" s="50"/>
      <c r="H159" s="41"/>
      <c r="I159" s="42"/>
      <c r="J159" s="46"/>
      <c r="K159" s="47"/>
      <c r="L159" s="34">
        <f>(Table210[[#This Row],[Unit cost]]*Table311[[#This Row],[FX]])+Table210[[#This Row],[Unit cost]]</f>
        <v>0</v>
      </c>
      <c r="M159" s="44">
        <f>I159*Table2[[#This Row],[Unit cost FX]]</f>
        <v>0</v>
      </c>
      <c r="N159" s="47"/>
      <c r="O159" s="37">
        <f>Table2[[#This Row],[Unit cost FX]]*N159+Table2[[#This Row],[Unit cost FX]]</f>
        <v>0</v>
      </c>
      <c r="P159" s="44">
        <f>'H.W&amp;S.W&amp;Services'!$O159*'H.W&amp;S.W&amp;Services'!$I159</f>
        <v>0</v>
      </c>
    </row>
    <row r="160" spans="1:16" ht="15" customHeight="1" x14ac:dyDescent="0.2">
      <c r="A160" s="40"/>
      <c r="B160" s="31"/>
      <c r="C160" s="41"/>
      <c r="D160" s="49"/>
      <c r="E160" s="49"/>
      <c r="F160" s="49"/>
      <c r="G160" s="50"/>
      <c r="H160" s="41"/>
      <c r="I160" s="42"/>
      <c r="J160" s="46"/>
      <c r="K160" s="47"/>
      <c r="L160" s="34">
        <f>(Table210[[#This Row],[Unit cost]]*Table311[[#This Row],[FX]])+Table210[[#This Row],[Unit cost]]</f>
        <v>0</v>
      </c>
      <c r="M160" s="44">
        <f>I160*Table2[[#This Row],[Unit cost FX]]</f>
        <v>0</v>
      </c>
      <c r="N160" s="47"/>
      <c r="O160" s="37">
        <f>Table2[[#This Row],[Unit cost FX]]*N160+Table2[[#This Row],[Unit cost FX]]</f>
        <v>0</v>
      </c>
      <c r="P160" s="44">
        <f>'H.W&amp;S.W&amp;Services'!$O160*'H.W&amp;S.W&amp;Services'!$I160</f>
        <v>0</v>
      </c>
    </row>
    <row r="161" spans="1:16" ht="15" customHeight="1" x14ac:dyDescent="0.2">
      <c r="A161" s="40"/>
      <c r="B161" s="31"/>
      <c r="C161" s="41"/>
      <c r="D161" s="49"/>
      <c r="E161" s="49"/>
      <c r="F161" s="49"/>
      <c r="G161" s="50"/>
      <c r="H161" s="41"/>
      <c r="I161" s="42"/>
      <c r="J161" s="46"/>
      <c r="K161" s="47"/>
      <c r="L161" s="34">
        <f>(Table210[[#This Row],[Unit cost]]*Table311[[#This Row],[FX]])+Table210[[#This Row],[Unit cost]]</f>
        <v>0</v>
      </c>
      <c r="M161" s="44">
        <f>I161*Table2[[#This Row],[Unit cost FX]]</f>
        <v>0</v>
      </c>
      <c r="N161" s="47"/>
      <c r="O161" s="37">
        <f>Table2[[#This Row],[Unit cost FX]]*N161+Table2[[#This Row],[Unit cost FX]]</f>
        <v>0</v>
      </c>
      <c r="P161" s="44">
        <f>'H.W&amp;S.W&amp;Services'!$O161*'H.W&amp;S.W&amp;Services'!$I161</f>
        <v>0</v>
      </c>
    </row>
    <row r="162" spans="1:16" ht="15" customHeight="1" x14ac:dyDescent="0.2">
      <c r="A162" s="40"/>
      <c r="B162" s="31"/>
      <c r="C162" s="41"/>
      <c r="D162" s="49"/>
      <c r="E162" s="49"/>
      <c r="F162" s="49"/>
      <c r="G162" s="50"/>
      <c r="H162" s="41"/>
      <c r="I162" s="42"/>
      <c r="J162" s="46"/>
      <c r="K162" s="47"/>
      <c r="L162" s="34">
        <f>(Table210[[#This Row],[Unit cost]]*Table311[[#This Row],[FX]])+Table210[[#This Row],[Unit cost]]</f>
        <v>0</v>
      </c>
      <c r="M162" s="44">
        <f>I162*Table2[[#This Row],[Unit cost FX]]</f>
        <v>0</v>
      </c>
      <c r="N162" s="47"/>
      <c r="O162" s="37">
        <f>Table2[[#This Row],[Unit cost FX]]*N162+Table2[[#This Row],[Unit cost FX]]</f>
        <v>0</v>
      </c>
      <c r="P162" s="44">
        <f>'H.W&amp;S.W&amp;Services'!$O162*'H.W&amp;S.W&amp;Services'!$I162</f>
        <v>0</v>
      </c>
    </row>
    <row r="163" spans="1:16" ht="15" customHeight="1" x14ac:dyDescent="0.2">
      <c r="A163" s="40"/>
      <c r="B163" s="31"/>
      <c r="C163" s="41"/>
      <c r="D163" s="49"/>
      <c r="E163" s="49"/>
      <c r="F163" s="49"/>
      <c r="G163" s="50"/>
      <c r="H163" s="41"/>
      <c r="I163" s="42"/>
      <c r="J163" s="46"/>
      <c r="K163" s="47"/>
      <c r="L163" s="34">
        <f>(Table210[[#This Row],[Unit cost]]*Table311[[#This Row],[FX]])+Table210[[#This Row],[Unit cost]]</f>
        <v>0</v>
      </c>
      <c r="M163" s="44">
        <f>I163*Table2[[#This Row],[Unit cost FX]]</f>
        <v>0</v>
      </c>
      <c r="N163" s="47"/>
      <c r="O163" s="37">
        <f>Table2[[#This Row],[Unit cost FX]]*N163+Table2[[#This Row],[Unit cost FX]]</f>
        <v>0</v>
      </c>
      <c r="P163" s="44">
        <f>'H.W&amp;S.W&amp;Services'!$O163*'H.W&amp;S.W&amp;Services'!$I163</f>
        <v>0</v>
      </c>
    </row>
    <row r="164" spans="1:16" ht="15" customHeight="1" x14ac:dyDescent="0.2">
      <c r="A164" s="40"/>
      <c r="B164" s="31"/>
      <c r="C164" s="41"/>
      <c r="D164" s="49"/>
      <c r="E164" s="49"/>
      <c r="F164" s="49"/>
      <c r="G164" s="50"/>
      <c r="H164" s="41"/>
      <c r="I164" s="42"/>
      <c r="J164" s="46"/>
      <c r="K164" s="47"/>
      <c r="L164" s="34">
        <f>(Table210[[#This Row],[Unit cost]]*Table311[[#This Row],[FX]])+Table210[[#This Row],[Unit cost]]</f>
        <v>0</v>
      </c>
      <c r="M164" s="44">
        <f>I164*Table2[[#This Row],[Unit cost FX]]</f>
        <v>0</v>
      </c>
      <c r="N164" s="47"/>
      <c r="O164" s="37">
        <f>Table2[[#This Row],[Unit cost FX]]*N164+Table2[[#This Row],[Unit cost FX]]</f>
        <v>0</v>
      </c>
      <c r="P164" s="44">
        <f>'H.W&amp;S.W&amp;Services'!$O164*'H.W&amp;S.W&amp;Services'!$I164</f>
        <v>0</v>
      </c>
    </row>
    <row r="165" spans="1:16" ht="15" customHeight="1" x14ac:dyDescent="0.2">
      <c r="A165" s="40"/>
      <c r="B165" s="31"/>
      <c r="C165" s="41"/>
      <c r="D165" s="49"/>
      <c r="E165" s="49"/>
      <c r="F165" s="49"/>
      <c r="G165" s="50"/>
      <c r="H165" s="41"/>
      <c r="I165" s="42"/>
      <c r="J165" s="46"/>
      <c r="K165" s="47"/>
      <c r="L165" s="34">
        <f>(Table210[[#This Row],[Unit cost]]*Table311[[#This Row],[FX]])+Table210[[#This Row],[Unit cost]]</f>
        <v>0</v>
      </c>
      <c r="M165" s="44">
        <f>I165*Table2[[#This Row],[Unit cost FX]]</f>
        <v>0</v>
      </c>
      <c r="N165" s="47"/>
      <c r="O165" s="37">
        <f>Table2[[#This Row],[Unit cost FX]]*N165+Table2[[#This Row],[Unit cost FX]]</f>
        <v>0</v>
      </c>
      <c r="P165" s="44">
        <f>'H.W&amp;S.W&amp;Services'!$O165*'H.W&amp;S.W&amp;Services'!$I165</f>
        <v>0</v>
      </c>
    </row>
    <row r="166" spans="1:16" ht="15" customHeight="1" x14ac:dyDescent="0.2">
      <c r="A166" s="40"/>
      <c r="B166" s="31"/>
      <c r="C166" s="41"/>
      <c r="D166" s="49"/>
      <c r="E166" s="49"/>
      <c r="F166" s="49"/>
      <c r="G166" s="50"/>
      <c r="H166" s="41"/>
      <c r="I166" s="42"/>
      <c r="J166" s="46"/>
      <c r="K166" s="47"/>
      <c r="L166" s="34">
        <f>(Table210[[#This Row],[Unit cost]]*Table311[[#This Row],[FX]])+Table210[[#This Row],[Unit cost]]</f>
        <v>0</v>
      </c>
      <c r="M166" s="44">
        <f>I166*Table2[[#This Row],[Unit cost FX]]</f>
        <v>0</v>
      </c>
      <c r="N166" s="47"/>
      <c r="O166" s="37">
        <f>Table2[[#This Row],[Unit cost FX]]*N166+Table2[[#This Row],[Unit cost FX]]</f>
        <v>0</v>
      </c>
      <c r="P166" s="44">
        <f>'H.W&amp;S.W&amp;Services'!$O166*'H.W&amp;S.W&amp;Services'!$I166</f>
        <v>0</v>
      </c>
    </row>
    <row r="167" spans="1:16" ht="15" customHeight="1" x14ac:dyDescent="0.2">
      <c r="A167" s="40"/>
      <c r="B167" s="31"/>
      <c r="C167" s="41"/>
      <c r="D167" s="49"/>
      <c r="E167" s="49"/>
      <c r="F167" s="49"/>
      <c r="G167" s="50"/>
      <c r="H167" s="41"/>
      <c r="I167" s="42"/>
      <c r="J167" s="46"/>
      <c r="K167" s="47"/>
      <c r="L167" s="34">
        <f>(Table210[[#This Row],[Unit cost]]*Table311[[#This Row],[FX]])+Table210[[#This Row],[Unit cost]]</f>
        <v>0</v>
      </c>
      <c r="M167" s="44">
        <f>I167*Table2[[#This Row],[Unit cost FX]]</f>
        <v>0</v>
      </c>
      <c r="N167" s="47"/>
      <c r="O167" s="37">
        <f>Table2[[#This Row],[Unit cost FX]]*N167+Table2[[#This Row],[Unit cost FX]]</f>
        <v>0</v>
      </c>
      <c r="P167" s="44">
        <f>'H.W&amp;S.W&amp;Services'!$O167*'H.W&amp;S.W&amp;Services'!$I167</f>
        <v>0</v>
      </c>
    </row>
    <row r="168" spans="1:16" ht="15" customHeight="1" x14ac:dyDescent="0.2">
      <c r="A168" s="40"/>
      <c r="B168" s="31"/>
      <c r="C168" s="41"/>
      <c r="D168" s="49"/>
      <c r="E168" s="49"/>
      <c r="F168" s="49"/>
      <c r="G168" s="50"/>
      <c r="H168" s="41"/>
      <c r="I168" s="42"/>
      <c r="J168" s="46"/>
      <c r="K168" s="47"/>
      <c r="L168" s="34">
        <f>(Table210[[#This Row],[Unit cost]]*Table311[[#This Row],[FX]])+Table210[[#This Row],[Unit cost]]</f>
        <v>0</v>
      </c>
      <c r="M168" s="44">
        <f>I168*Table2[[#This Row],[Unit cost FX]]</f>
        <v>0</v>
      </c>
      <c r="N168" s="47"/>
      <c r="O168" s="37">
        <f>Table2[[#This Row],[Unit cost FX]]*N168+Table2[[#This Row],[Unit cost FX]]</f>
        <v>0</v>
      </c>
      <c r="P168" s="44">
        <f>'H.W&amp;S.W&amp;Services'!$O168*'H.W&amp;S.W&amp;Services'!$I168</f>
        <v>0</v>
      </c>
    </row>
    <row r="169" spans="1:16" ht="15" customHeight="1" x14ac:dyDescent="0.2">
      <c r="A169" s="40"/>
      <c r="B169" s="31"/>
      <c r="C169" s="41"/>
      <c r="D169" s="49"/>
      <c r="E169" s="49"/>
      <c r="F169" s="49"/>
      <c r="G169" s="50"/>
      <c r="H169" s="41"/>
      <c r="I169" s="42"/>
      <c r="J169" s="46"/>
      <c r="K169" s="47"/>
      <c r="L169" s="34">
        <f>(Table210[[#This Row],[Unit cost]]*Table311[[#This Row],[FX]])+Table210[[#This Row],[Unit cost]]</f>
        <v>0</v>
      </c>
      <c r="M169" s="44">
        <f>I169*Table2[[#This Row],[Unit cost FX]]</f>
        <v>0</v>
      </c>
      <c r="N169" s="47"/>
      <c r="O169" s="37">
        <f>Table2[[#This Row],[Unit cost FX]]*N169+Table2[[#This Row],[Unit cost FX]]</f>
        <v>0</v>
      </c>
      <c r="P169" s="44">
        <f>'H.W&amp;S.W&amp;Services'!$O169*'H.W&amp;S.W&amp;Services'!$I169</f>
        <v>0</v>
      </c>
    </row>
    <row r="170" spans="1:16" ht="15" customHeight="1" x14ac:dyDescent="0.2">
      <c r="A170" s="40"/>
      <c r="B170" s="31"/>
      <c r="C170" s="41"/>
      <c r="D170" s="49"/>
      <c r="E170" s="49"/>
      <c r="F170" s="49"/>
      <c r="G170" s="50"/>
      <c r="H170" s="41"/>
      <c r="I170" s="42"/>
      <c r="J170" s="46"/>
      <c r="K170" s="47"/>
      <c r="L170" s="34">
        <f>(Table210[[#This Row],[Unit cost]]*Table311[[#This Row],[FX]])+Table210[[#This Row],[Unit cost]]</f>
        <v>0</v>
      </c>
      <c r="M170" s="44">
        <f>I170*Table2[[#This Row],[Unit cost FX]]</f>
        <v>0</v>
      </c>
      <c r="N170" s="47"/>
      <c r="O170" s="37">
        <f>Table2[[#This Row],[Unit cost FX]]*N170+Table2[[#This Row],[Unit cost FX]]</f>
        <v>0</v>
      </c>
      <c r="P170" s="44">
        <f>'H.W&amp;S.W&amp;Services'!$O170*'H.W&amp;S.W&amp;Services'!$I170</f>
        <v>0</v>
      </c>
    </row>
    <row r="171" spans="1:16" ht="15" customHeight="1" x14ac:dyDescent="0.2">
      <c r="A171" s="40"/>
      <c r="B171" s="31"/>
      <c r="C171" s="41"/>
      <c r="D171" s="49"/>
      <c r="E171" s="49"/>
      <c r="F171" s="49"/>
      <c r="G171" s="50"/>
      <c r="H171" s="41"/>
      <c r="I171" s="42"/>
      <c r="J171" s="46"/>
      <c r="K171" s="47"/>
      <c r="L171" s="34">
        <f>(Table210[[#This Row],[Unit cost]]*Table311[[#This Row],[FX]])+Table210[[#This Row],[Unit cost]]</f>
        <v>0</v>
      </c>
      <c r="M171" s="44">
        <f>I171*Table2[[#This Row],[Unit cost FX]]</f>
        <v>0</v>
      </c>
      <c r="N171" s="47"/>
      <c r="O171" s="37">
        <f>Table2[[#This Row],[Unit cost FX]]*N171+Table2[[#This Row],[Unit cost FX]]</f>
        <v>0</v>
      </c>
      <c r="P171" s="44">
        <f>'H.W&amp;S.W&amp;Services'!$O171*'H.W&amp;S.W&amp;Services'!$I171</f>
        <v>0</v>
      </c>
    </row>
    <row r="172" spans="1:16" ht="15" customHeight="1" x14ac:dyDescent="0.2">
      <c r="A172" s="40"/>
      <c r="B172" s="31"/>
      <c r="C172" s="41"/>
      <c r="D172" s="49"/>
      <c r="E172" s="49"/>
      <c r="F172" s="49"/>
      <c r="G172" s="50"/>
      <c r="H172" s="41"/>
      <c r="I172" s="42"/>
      <c r="J172" s="46"/>
      <c r="K172" s="47"/>
      <c r="L172" s="34">
        <f>(Table210[[#This Row],[Unit cost]]*Table311[[#This Row],[FX]])+Table210[[#This Row],[Unit cost]]</f>
        <v>0</v>
      </c>
      <c r="M172" s="44">
        <f>I172*Table2[[#This Row],[Unit cost FX]]</f>
        <v>0</v>
      </c>
      <c r="N172" s="47"/>
      <c r="O172" s="37">
        <f>Table2[[#This Row],[Unit cost FX]]*N172+Table2[[#This Row],[Unit cost FX]]</f>
        <v>0</v>
      </c>
      <c r="P172" s="44">
        <f>'H.W&amp;S.W&amp;Services'!$O172*'H.W&amp;S.W&amp;Services'!$I172</f>
        <v>0</v>
      </c>
    </row>
    <row r="173" spans="1:16" ht="15" customHeight="1" x14ac:dyDescent="0.2">
      <c r="A173" s="40"/>
      <c r="B173" s="31"/>
      <c r="C173" s="41"/>
      <c r="D173" s="49"/>
      <c r="E173" s="49"/>
      <c r="F173" s="49"/>
      <c r="G173" s="50"/>
      <c r="H173" s="41"/>
      <c r="I173" s="42"/>
      <c r="J173" s="46"/>
      <c r="K173" s="47"/>
      <c r="L173" s="34">
        <f>(Table210[[#This Row],[Unit cost]]*Table311[[#This Row],[FX]])+Table210[[#This Row],[Unit cost]]</f>
        <v>0</v>
      </c>
      <c r="M173" s="44">
        <f>I173*Table2[[#This Row],[Unit cost FX]]</f>
        <v>0</v>
      </c>
      <c r="N173" s="47"/>
      <c r="O173" s="37">
        <f>Table2[[#This Row],[Unit cost FX]]*N173+Table2[[#This Row],[Unit cost FX]]</f>
        <v>0</v>
      </c>
      <c r="P173" s="44">
        <f>'H.W&amp;S.W&amp;Services'!$O173*'H.W&amp;S.W&amp;Services'!$I173</f>
        <v>0</v>
      </c>
    </row>
    <row r="174" spans="1:16" ht="15" customHeight="1" x14ac:dyDescent="0.2">
      <c r="A174" s="40"/>
      <c r="B174" s="31"/>
      <c r="C174" s="41"/>
      <c r="D174" s="49"/>
      <c r="E174" s="49"/>
      <c r="F174" s="49"/>
      <c r="G174" s="50"/>
      <c r="H174" s="41"/>
      <c r="I174" s="42"/>
      <c r="J174" s="46"/>
      <c r="K174" s="47"/>
      <c r="L174" s="34">
        <f>(Table210[[#This Row],[Unit cost]]*Table311[[#This Row],[FX]])+Table210[[#This Row],[Unit cost]]</f>
        <v>0</v>
      </c>
      <c r="M174" s="44">
        <f>I174*Table2[[#This Row],[Unit cost FX]]</f>
        <v>0</v>
      </c>
      <c r="N174" s="47"/>
      <c r="O174" s="37">
        <f>Table2[[#This Row],[Unit cost FX]]*N174+Table2[[#This Row],[Unit cost FX]]</f>
        <v>0</v>
      </c>
      <c r="P174" s="44">
        <f>'H.W&amp;S.W&amp;Services'!$O174*'H.W&amp;S.W&amp;Services'!$I174</f>
        <v>0</v>
      </c>
    </row>
    <row r="175" spans="1:16" ht="15" customHeight="1" x14ac:dyDescent="0.2">
      <c r="A175" s="40"/>
      <c r="B175" s="31"/>
      <c r="C175" s="41"/>
      <c r="D175" s="49"/>
      <c r="E175" s="49"/>
      <c r="F175" s="49"/>
      <c r="G175" s="50"/>
      <c r="H175" s="41"/>
      <c r="I175" s="42"/>
      <c r="J175" s="46"/>
      <c r="K175" s="47"/>
      <c r="L175" s="34">
        <f>(Table210[[#This Row],[Unit cost]]*Table311[[#This Row],[FX]])+Table210[[#This Row],[Unit cost]]</f>
        <v>0</v>
      </c>
      <c r="M175" s="44">
        <f>I175*Table2[[#This Row],[Unit cost FX]]</f>
        <v>0</v>
      </c>
      <c r="N175" s="47"/>
      <c r="O175" s="37">
        <f>Table2[[#This Row],[Unit cost FX]]*N175+Table2[[#This Row],[Unit cost FX]]</f>
        <v>0</v>
      </c>
      <c r="P175" s="44">
        <f>'H.W&amp;S.W&amp;Services'!$O175*'H.W&amp;S.W&amp;Services'!$I175</f>
        <v>0</v>
      </c>
    </row>
    <row r="176" spans="1:16" ht="15" customHeight="1" x14ac:dyDescent="0.2">
      <c r="A176" s="40"/>
      <c r="B176" s="31"/>
      <c r="C176" s="41"/>
      <c r="D176" s="49"/>
      <c r="E176" s="49"/>
      <c r="F176" s="49"/>
      <c r="G176" s="50"/>
      <c r="H176" s="41"/>
      <c r="I176" s="42"/>
      <c r="J176" s="46"/>
      <c r="K176" s="47"/>
      <c r="L176" s="34">
        <f>(Table210[[#This Row],[Unit cost]]*Table311[[#This Row],[FX]])+Table210[[#This Row],[Unit cost]]</f>
        <v>0</v>
      </c>
      <c r="M176" s="44">
        <f>I176*Table2[[#This Row],[Unit cost FX]]</f>
        <v>0</v>
      </c>
      <c r="N176" s="47"/>
      <c r="O176" s="37">
        <f>Table2[[#This Row],[Unit cost FX]]*N176+Table2[[#This Row],[Unit cost FX]]</f>
        <v>0</v>
      </c>
      <c r="P176" s="44">
        <f>'H.W&amp;S.W&amp;Services'!$O176*'H.W&amp;S.W&amp;Services'!$I176</f>
        <v>0</v>
      </c>
    </row>
    <row r="177" spans="1:16" ht="15" customHeight="1" x14ac:dyDescent="0.2">
      <c r="A177" s="40"/>
      <c r="B177" s="31"/>
      <c r="C177" s="41"/>
      <c r="D177" s="49"/>
      <c r="E177" s="49"/>
      <c r="F177" s="49"/>
      <c r="G177" s="50"/>
      <c r="H177" s="41"/>
      <c r="I177" s="42"/>
      <c r="J177" s="46"/>
      <c r="K177" s="47"/>
      <c r="L177" s="34">
        <f>(Table210[[#This Row],[Unit cost]]*Table311[[#This Row],[FX]])+Table210[[#This Row],[Unit cost]]</f>
        <v>0</v>
      </c>
      <c r="M177" s="44">
        <f>I177*Table2[[#This Row],[Unit cost FX]]</f>
        <v>0</v>
      </c>
      <c r="N177" s="47"/>
      <c r="O177" s="37">
        <f>Table2[[#This Row],[Unit cost FX]]*N177+Table2[[#This Row],[Unit cost FX]]</f>
        <v>0</v>
      </c>
      <c r="P177" s="44">
        <f>'H.W&amp;S.W&amp;Services'!$O177*'H.W&amp;S.W&amp;Services'!$I177</f>
        <v>0</v>
      </c>
    </row>
    <row r="178" spans="1:16" ht="15" customHeight="1" x14ac:dyDescent="0.2">
      <c r="A178" s="40"/>
      <c r="B178" s="31"/>
      <c r="C178" s="41"/>
      <c r="D178" s="49"/>
      <c r="E178" s="49"/>
      <c r="F178" s="49"/>
      <c r="G178" s="50"/>
      <c r="H178" s="41"/>
      <c r="I178" s="42"/>
      <c r="J178" s="46"/>
      <c r="K178" s="47"/>
      <c r="L178" s="34">
        <f>(Table210[[#This Row],[Unit cost]]*Table311[[#This Row],[FX]])+Table210[[#This Row],[Unit cost]]</f>
        <v>0</v>
      </c>
      <c r="M178" s="44">
        <f>I178*Table2[[#This Row],[Unit cost FX]]</f>
        <v>0</v>
      </c>
      <c r="N178" s="47"/>
      <c r="O178" s="37">
        <f>Table2[[#This Row],[Unit cost FX]]*N178+Table2[[#This Row],[Unit cost FX]]</f>
        <v>0</v>
      </c>
      <c r="P178" s="44">
        <f>'H.W&amp;S.W&amp;Services'!$O178*'H.W&amp;S.W&amp;Services'!$I178</f>
        <v>0</v>
      </c>
    </row>
    <row r="179" spans="1:16" ht="15" customHeight="1" x14ac:dyDescent="0.2">
      <c r="A179" s="40"/>
      <c r="B179" s="31"/>
      <c r="C179" s="41"/>
      <c r="D179" s="49"/>
      <c r="E179" s="49"/>
      <c r="F179" s="49"/>
      <c r="G179" s="50"/>
      <c r="H179" s="41"/>
      <c r="I179" s="42"/>
      <c r="J179" s="46"/>
      <c r="K179" s="47"/>
      <c r="L179" s="34">
        <f>(Table210[[#This Row],[Unit cost]]*Table311[[#This Row],[FX]])+Table210[[#This Row],[Unit cost]]</f>
        <v>0</v>
      </c>
      <c r="M179" s="44">
        <f>I179*Table2[[#This Row],[Unit cost FX]]</f>
        <v>0</v>
      </c>
      <c r="N179" s="47"/>
      <c r="O179" s="37">
        <f>Table2[[#This Row],[Unit cost FX]]*N179+Table2[[#This Row],[Unit cost FX]]</f>
        <v>0</v>
      </c>
      <c r="P179" s="44">
        <f>'H.W&amp;S.W&amp;Services'!$O179*'H.W&amp;S.W&amp;Services'!$I179</f>
        <v>0</v>
      </c>
    </row>
    <row r="180" spans="1:16" ht="15" customHeight="1" x14ac:dyDescent="0.2">
      <c r="A180" s="40"/>
      <c r="B180" s="31"/>
      <c r="C180" s="41"/>
      <c r="D180" s="49"/>
      <c r="E180" s="49"/>
      <c r="F180" s="49"/>
      <c r="G180" s="50"/>
      <c r="H180" s="41"/>
      <c r="I180" s="42"/>
      <c r="J180" s="46"/>
      <c r="K180" s="47"/>
      <c r="L180" s="34">
        <f>(Table210[[#This Row],[Unit cost]]*Table311[[#This Row],[FX]])+Table210[[#This Row],[Unit cost]]</f>
        <v>0</v>
      </c>
      <c r="M180" s="44">
        <f>I180*Table2[[#This Row],[Unit cost FX]]</f>
        <v>0</v>
      </c>
      <c r="N180" s="47"/>
      <c r="O180" s="37">
        <f>Table2[[#This Row],[Unit cost FX]]*N180+Table2[[#This Row],[Unit cost FX]]</f>
        <v>0</v>
      </c>
      <c r="P180" s="44">
        <f>'H.W&amp;S.W&amp;Services'!$O180*'H.W&amp;S.W&amp;Services'!$I180</f>
        <v>0</v>
      </c>
    </row>
    <row r="181" spans="1:16" ht="15" customHeight="1" x14ac:dyDescent="0.2">
      <c r="A181" s="40"/>
      <c r="B181" s="31"/>
      <c r="C181" s="41"/>
      <c r="D181" s="49"/>
      <c r="E181" s="49"/>
      <c r="F181" s="49"/>
      <c r="G181" s="50"/>
      <c r="H181" s="41"/>
      <c r="I181" s="42"/>
      <c r="J181" s="46"/>
      <c r="K181" s="47"/>
      <c r="L181" s="34">
        <f>(Table210[[#This Row],[Unit cost]]*Table311[[#This Row],[FX]])+Table210[[#This Row],[Unit cost]]</f>
        <v>0</v>
      </c>
      <c r="M181" s="44">
        <f>I181*Table2[[#This Row],[Unit cost FX]]</f>
        <v>0</v>
      </c>
      <c r="N181" s="47"/>
      <c r="O181" s="37">
        <f>Table2[[#This Row],[Unit cost FX]]*N181+Table2[[#This Row],[Unit cost FX]]</f>
        <v>0</v>
      </c>
      <c r="P181" s="44">
        <f>'H.W&amp;S.W&amp;Services'!$O181*'H.W&amp;S.W&amp;Services'!$I181</f>
        <v>0</v>
      </c>
    </row>
    <row r="182" spans="1:16" ht="15" customHeight="1" x14ac:dyDescent="0.2">
      <c r="A182" s="40"/>
      <c r="B182" s="31"/>
      <c r="C182" s="41"/>
      <c r="D182" s="49"/>
      <c r="E182" s="49"/>
      <c r="F182" s="49"/>
      <c r="G182" s="50"/>
      <c r="H182" s="41"/>
      <c r="I182" s="42"/>
      <c r="J182" s="46"/>
      <c r="K182" s="47"/>
      <c r="L182" s="34">
        <f>(Table210[[#This Row],[Unit cost]]*Table311[[#This Row],[FX]])+Table210[[#This Row],[Unit cost]]</f>
        <v>0</v>
      </c>
      <c r="M182" s="44">
        <f>I182*Table2[[#This Row],[Unit cost FX]]</f>
        <v>0</v>
      </c>
      <c r="N182" s="47"/>
      <c r="O182" s="37">
        <f>Table2[[#This Row],[Unit cost FX]]*N182+Table2[[#This Row],[Unit cost FX]]</f>
        <v>0</v>
      </c>
      <c r="P182" s="44">
        <f>'H.W&amp;S.W&amp;Services'!$O182*'H.W&amp;S.W&amp;Services'!$I182</f>
        <v>0</v>
      </c>
    </row>
    <row r="183" spans="1:16" ht="15" customHeight="1" x14ac:dyDescent="0.2">
      <c r="A183" s="40"/>
      <c r="B183" s="31"/>
      <c r="C183" s="41"/>
      <c r="D183" s="49"/>
      <c r="E183" s="49"/>
      <c r="F183" s="49"/>
      <c r="G183" s="50"/>
      <c r="H183" s="41"/>
      <c r="I183" s="42"/>
      <c r="J183" s="46"/>
      <c r="K183" s="47"/>
      <c r="L183" s="34">
        <f>(Table210[[#This Row],[Unit cost]]*Table311[[#This Row],[FX]])+Table210[[#This Row],[Unit cost]]</f>
        <v>0</v>
      </c>
      <c r="M183" s="44">
        <f>I183*Table2[[#This Row],[Unit cost FX]]</f>
        <v>0</v>
      </c>
      <c r="N183" s="47"/>
      <c r="O183" s="37">
        <f>Table2[[#This Row],[Unit cost FX]]*N183+Table2[[#This Row],[Unit cost FX]]</f>
        <v>0</v>
      </c>
      <c r="P183" s="44">
        <f>'H.W&amp;S.W&amp;Services'!$O183*'H.W&amp;S.W&amp;Services'!$I183</f>
        <v>0</v>
      </c>
    </row>
    <row r="184" spans="1:16" ht="15" customHeight="1" x14ac:dyDescent="0.2">
      <c r="A184" s="40"/>
      <c r="B184" s="31"/>
      <c r="C184" s="41"/>
      <c r="D184" s="49"/>
      <c r="E184" s="49"/>
      <c r="F184" s="49"/>
      <c r="G184" s="50"/>
      <c r="H184" s="41"/>
      <c r="I184" s="42"/>
      <c r="J184" s="46"/>
      <c r="K184" s="47"/>
      <c r="L184" s="34">
        <f>(Table210[[#This Row],[Unit cost]]*Table311[[#This Row],[FX]])+Table210[[#This Row],[Unit cost]]</f>
        <v>0</v>
      </c>
      <c r="M184" s="44">
        <f>I184*Table2[[#This Row],[Unit cost FX]]</f>
        <v>0</v>
      </c>
      <c r="N184" s="47"/>
      <c r="O184" s="37">
        <f>Table2[[#This Row],[Unit cost FX]]*N184+Table2[[#This Row],[Unit cost FX]]</f>
        <v>0</v>
      </c>
      <c r="P184" s="44">
        <f>'H.W&amp;S.W&amp;Services'!$O184*'H.W&amp;S.W&amp;Services'!$I184</f>
        <v>0</v>
      </c>
    </row>
    <row r="185" spans="1:16" ht="15" customHeight="1" x14ac:dyDescent="0.2">
      <c r="A185" s="40"/>
      <c r="B185" s="31"/>
      <c r="C185" s="41"/>
      <c r="D185" s="49"/>
      <c r="E185" s="49"/>
      <c r="F185" s="49"/>
      <c r="G185" s="50"/>
      <c r="H185" s="41"/>
      <c r="I185" s="42"/>
      <c r="J185" s="46"/>
      <c r="K185" s="47"/>
      <c r="L185" s="34">
        <f>(Table210[[#This Row],[Unit cost]]*Table311[[#This Row],[FX]])+Table210[[#This Row],[Unit cost]]</f>
        <v>0</v>
      </c>
      <c r="M185" s="44">
        <f>I185*Table2[[#This Row],[Unit cost FX]]</f>
        <v>0</v>
      </c>
      <c r="N185" s="47"/>
      <c r="O185" s="37">
        <f>Table2[[#This Row],[Unit cost FX]]*N185+Table2[[#This Row],[Unit cost FX]]</f>
        <v>0</v>
      </c>
      <c r="P185" s="44">
        <f>'H.W&amp;S.W&amp;Services'!$O185*'H.W&amp;S.W&amp;Services'!$I185</f>
        <v>0</v>
      </c>
    </row>
    <row r="186" spans="1:16" ht="15" customHeight="1" x14ac:dyDescent="0.2">
      <c r="A186" s="40"/>
      <c r="B186" s="31"/>
      <c r="C186" s="41"/>
      <c r="D186" s="49"/>
      <c r="E186" s="49"/>
      <c r="F186" s="49"/>
      <c r="G186" s="50"/>
      <c r="H186" s="41"/>
      <c r="I186" s="42"/>
      <c r="J186" s="46"/>
      <c r="K186" s="47"/>
      <c r="L186" s="34">
        <f>(Table210[[#This Row],[Unit cost]]*Table311[[#This Row],[FX]])+Table210[[#This Row],[Unit cost]]</f>
        <v>0</v>
      </c>
      <c r="M186" s="44">
        <f>I186*Table2[[#This Row],[Unit cost FX]]</f>
        <v>0</v>
      </c>
      <c r="N186" s="47"/>
      <c r="O186" s="37">
        <f>Table2[[#This Row],[Unit cost FX]]*N186+Table2[[#This Row],[Unit cost FX]]</f>
        <v>0</v>
      </c>
      <c r="P186" s="44">
        <f>'H.W&amp;S.W&amp;Services'!$O186*'H.W&amp;S.W&amp;Services'!$I186</f>
        <v>0</v>
      </c>
    </row>
    <row r="187" spans="1:16" ht="15" customHeight="1" x14ac:dyDescent="0.2">
      <c r="A187" s="40"/>
      <c r="B187" s="31"/>
      <c r="C187" s="41"/>
      <c r="D187" s="49"/>
      <c r="E187" s="49"/>
      <c r="F187" s="49"/>
      <c r="G187" s="50"/>
      <c r="H187" s="41"/>
      <c r="I187" s="42"/>
      <c r="J187" s="46"/>
      <c r="K187" s="47"/>
      <c r="L187" s="34">
        <f>(Table210[[#This Row],[Unit cost]]*Table311[[#This Row],[FX]])+Table210[[#This Row],[Unit cost]]</f>
        <v>0</v>
      </c>
      <c r="M187" s="44">
        <f>I187*Table2[[#This Row],[Unit cost FX]]</f>
        <v>0</v>
      </c>
      <c r="N187" s="47"/>
      <c r="O187" s="37">
        <f>Table2[[#This Row],[Unit cost FX]]*N187+Table2[[#This Row],[Unit cost FX]]</f>
        <v>0</v>
      </c>
      <c r="P187" s="44">
        <f>'H.W&amp;S.W&amp;Services'!$O187*'H.W&amp;S.W&amp;Services'!$I187</f>
        <v>0</v>
      </c>
    </row>
    <row r="188" spans="1:16" ht="15" customHeight="1" x14ac:dyDescent="0.2">
      <c r="A188" s="40"/>
      <c r="B188" s="31"/>
      <c r="C188" s="41"/>
      <c r="D188" s="49"/>
      <c r="E188" s="49"/>
      <c r="F188" s="49"/>
      <c r="G188" s="50"/>
      <c r="H188" s="41"/>
      <c r="I188" s="42"/>
      <c r="J188" s="46"/>
      <c r="K188" s="47"/>
      <c r="L188" s="34">
        <f>(Table210[[#This Row],[Unit cost]]*Table311[[#This Row],[FX]])+Table210[[#This Row],[Unit cost]]</f>
        <v>0</v>
      </c>
      <c r="M188" s="44">
        <f>I188*Table2[[#This Row],[Unit cost FX]]</f>
        <v>0</v>
      </c>
      <c r="N188" s="47"/>
      <c r="O188" s="37">
        <f>Table2[[#This Row],[Unit cost FX]]*N188+Table2[[#This Row],[Unit cost FX]]</f>
        <v>0</v>
      </c>
      <c r="P188" s="44">
        <f>'H.W&amp;S.W&amp;Services'!$O188*'H.W&amp;S.W&amp;Services'!$I188</f>
        <v>0</v>
      </c>
    </row>
    <row r="189" spans="1:16" ht="15" customHeight="1" x14ac:dyDescent="0.2">
      <c r="A189" s="40"/>
      <c r="B189" s="31"/>
      <c r="C189" s="41"/>
      <c r="D189" s="49"/>
      <c r="E189" s="49"/>
      <c r="F189" s="49"/>
      <c r="G189" s="50"/>
      <c r="H189" s="41"/>
      <c r="I189" s="42"/>
      <c r="J189" s="46"/>
      <c r="K189" s="47"/>
      <c r="L189" s="34">
        <f>(Table210[[#This Row],[Unit cost]]*Table311[[#This Row],[FX]])+Table210[[#This Row],[Unit cost]]</f>
        <v>0</v>
      </c>
      <c r="M189" s="44">
        <f>I189*Table2[[#This Row],[Unit cost FX]]</f>
        <v>0</v>
      </c>
      <c r="N189" s="47"/>
      <c r="O189" s="37">
        <f>Table2[[#This Row],[Unit cost FX]]*N189+Table2[[#This Row],[Unit cost FX]]</f>
        <v>0</v>
      </c>
      <c r="P189" s="44">
        <f>'H.W&amp;S.W&amp;Services'!$O189*'H.W&amp;S.W&amp;Services'!$I189</f>
        <v>0</v>
      </c>
    </row>
    <row r="190" spans="1:16" ht="15" customHeight="1" x14ac:dyDescent="0.2">
      <c r="A190" s="40"/>
      <c r="B190" s="31"/>
      <c r="C190" s="41"/>
      <c r="D190" s="49"/>
      <c r="E190" s="49"/>
      <c r="F190" s="49"/>
      <c r="G190" s="50"/>
      <c r="H190" s="41"/>
      <c r="I190" s="42"/>
      <c r="J190" s="46"/>
      <c r="K190" s="47"/>
      <c r="L190" s="34">
        <f>(Table210[[#This Row],[Unit cost]]*Table311[[#This Row],[FX]])+Table210[[#This Row],[Unit cost]]</f>
        <v>0</v>
      </c>
      <c r="M190" s="44">
        <f>I190*Table2[[#This Row],[Unit cost FX]]</f>
        <v>0</v>
      </c>
      <c r="N190" s="47"/>
      <c r="O190" s="37">
        <f>Table2[[#This Row],[Unit cost FX]]*N190+Table2[[#This Row],[Unit cost FX]]</f>
        <v>0</v>
      </c>
      <c r="P190" s="44">
        <f>'H.W&amp;S.W&amp;Services'!$O190*'H.W&amp;S.W&amp;Services'!$I190</f>
        <v>0</v>
      </c>
    </row>
    <row r="191" spans="1:16" ht="15" customHeight="1" x14ac:dyDescent="0.2">
      <c r="A191" s="40"/>
      <c r="B191" s="31"/>
      <c r="C191" s="41"/>
      <c r="D191" s="49"/>
      <c r="E191" s="49"/>
      <c r="F191" s="49"/>
      <c r="G191" s="50"/>
      <c r="H191" s="41"/>
      <c r="I191" s="42"/>
      <c r="J191" s="46"/>
      <c r="K191" s="47"/>
      <c r="L191" s="34">
        <f>(Table210[[#This Row],[Unit cost]]*Table311[[#This Row],[FX]])+Table210[[#This Row],[Unit cost]]</f>
        <v>0</v>
      </c>
      <c r="M191" s="44">
        <f>I191*Table2[[#This Row],[Unit cost FX]]</f>
        <v>0</v>
      </c>
      <c r="N191" s="47"/>
      <c r="O191" s="37">
        <f>Table2[[#This Row],[Unit cost FX]]*N191+Table2[[#This Row],[Unit cost FX]]</f>
        <v>0</v>
      </c>
      <c r="P191" s="44">
        <f>'H.W&amp;S.W&amp;Services'!$O191*'H.W&amp;S.W&amp;Services'!$I191</f>
        <v>0</v>
      </c>
    </row>
    <row r="192" spans="1:16" ht="15" customHeight="1" x14ac:dyDescent="0.2">
      <c r="A192" s="40"/>
      <c r="B192" s="31"/>
      <c r="C192" s="41"/>
      <c r="D192" s="49"/>
      <c r="E192" s="49"/>
      <c r="F192" s="49"/>
      <c r="G192" s="50"/>
      <c r="H192" s="41"/>
      <c r="I192" s="42"/>
      <c r="J192" s="46"/>
      <c r="K192" s="47"/>
      <c r="L192" s="34">
        <f>(Table210[[#This Row],[Unit cost]]*Table311[[#This Row],[FX]])+Table210[[#This Row],[Unit cost]]</f>
        <v>0</v>
      </c>
      <c r="M192" s="44">
        <f>I192*Table2[[#This Row],[Unit cost FX]]</f>
        <v>0</v>
      </c>
      <c r="N192" s="47"/>
      <c r="O192" s="37">
        <f>Table2[[#This Row],[Unit cost FX]]*N192+Table2[[#This Row],[Unit cost FX]]</f>
        <v>0</v>
      </c>
      <c r="P192" s="44">
        <f>'H.W&amp;S.W&amp;Services'!$O192*'H.W&amp;S.W&amp;Services'!$I192</f>
        <v>0</v>
      </c>
    </row>
    <row r="193" spans="1:16" ht="15" customHeight="1" x14ac:dyDescent="0.2">
      <c r="A193" s="40"/>
      <c r="B193" s="31"/>
      <c r="C193" s="41"/>
      <c r="D193" s="49"/>
      <c r="E193" s="49"/>
      <c r="F193" s="49"/>
      <c r="G193" s="50"/>
      <c r="H193" s="41"/>
      <c r="I193" s="42"/>
      <c r="J193" s="46"/>
      <c r="K193" s="47"/>
      <c r="L193" s="34">
        <f>(Table210[[#This Row],[Unit cost]]*Table311[[#This Row],[FX]])+Table210[[#This Row],[Unit cost]]</f>
        <v>0</v>
      </c>
      <c r="M193" s="44">
        <f>I193*Table2[[#This Row],[Unit cost FX]]</f>
        <v>0</v>
      </c>
      <c r="N193" s="47"/>
      <c r="O193" s="37">
        <f>Table2[[#This Row],[Unit cost FX]]*N193+Table2[[#This Row],[Unit cost FX]]</f>
        <v>0</v>
      </c>
      <c r="P193" s="44">
        <f>'H.W&amp;S.W&amp;Services'!$O193*'H.W&amp;S.W&amp;Services'!$I193</f>
        <v>0</v>
      </c>
    </row>
    <row r="194" spans="1:16" ht="15" customHeight="1" x14ac:dyDescent="0.2">
      <c r="A194" s="40"/>
      <c r="B194" s="31"/>
      <c r="C194" s="41"/>
      <c r="D194" s="49"/>
      <c r="E194" s="49"/>
      <c r="F194" s="49"/>
      <c r="G194" s="50"/>
      <c r="H194" s="41"/>
      <c r="I194" s="42"/>
      <c r="J194" s="46"/>
      <c r="K194" s="47"/>
      <c r="L194" s="34">
        <f>(Table210[[#This Row],[Unit cost]]*Table311[[#This Row],[FX]])+Table210[[#This Row],[Unit cost]]</f>
        <v>0</v>
      </c>
      <c r="M194" s="44">
        <f>I194*Table2[[#This Row],[Unit cost FX]]</f>
        <v>0</v>
      </c>
      <c r="N194" s="47"/>
      <c r="O194" s="37">
        <f>Table2[[#This Row],[Unit cost FX]]*N194+Table2[[#This Row],[Unit cost FX]]</f>
        <v>0</v>
      </c>
      <c r="P194" s="44">
        <f>'H.W&amp;S.W&amp;Services'!$O194*'H.W&amp;S.W&amp;Services'!$I194</f>
        <v>0</v>
      </c>
    </row>
    <row r="195" spans="1:16" ht="15" customHeight="1" x14ac:dyDescent="0.2">
      <c r="A195" s="40"/>
      <c r="B195" s="31"/>
      <c r="C195" s="41"/>
      <c r="D195" s="49"/>
      <c r="E195" s="49"/>
      <c r="F195" s="49"/>
      <c r="G195" s="50"/>
      <c r="H195" s="41"/>
      <c r="I195" s="42"/>
      <c r="J195" s="46"/>
      <c r="K195" s="47"/>
      <c r="L195" s="34">
        <f>(Table210[[#This Row],[Unit cost]]*Table311[[#This Row],[FX]])+Table210[[#This Row],[Unit cost]]</f>
        <v>0</v>
      </c>
      <c r="M195" s="44">
        <f>I195*Table2[[#This Row],[Unit cost FX]]</f>
        <v>0</v>
      </c>
      <c r="N195" s="47"/>
      <c r="O195" s="37">
        <f>Table2[[#This Row],[Unit cost FX]]*N195+Table2[[#This Row],[Unit cost FX]]</f>
        <v>0</v>
      </c>
      <c r="P195" s="44">
        <f>'H.W&amp;S.W&amp;Services'!$O195*'H.W&amp;S.W&amp;Services'!$I195</f>
        <v>0</v>
      </c>
    </row>
    <row r="196" spans="1:16" ht="15" customHeight="1" x14ac:dyDescent="0.2">
      <c r="A196" s="40"/>
      <c r="B196" s="31"/>
      <c r="C196" s="41"/>
      <c r="D196" s="49"/>
      <c r="E196" s="49"/>
      <c r="F196" s="49"/>
      <c r="G196" s="50"/>
      <c r="H196" s="41"/>
      <c r="I196" s="42"/>
      <c r="J196" s="46"/>
      <c r="K196" s="47"/>
      <c r="L196" s="34">
        <f>(Table210[[#This Row],[Unit cost]]*Table311[[#This Row],[FX]])+Table210[[#This Row],[Unit cost]]</f>
        <v>0</v>
      </c>
      <c r="M196" s="44">
        <f>I196*Table2[[#This Row],[Unit cost FX]]</f>
        <v>0</v>
      </c>
      <c r="N196" s="47"/>
      <c r="O196" s="37">
        <f>Table2[[#This Row],[Unit cost FX]]*N196+Table2[[#This Row],[Unit cost FX]]</f>
        <v>0</v>
      </c>
      <c r="P196" s="44">
        <f>'H.W&amp;S.W&amp;Services'!$O196*'H.W&amp;S.W&amp;Services'!$I196</f>
        <v>0</v>
      </c>
    </row>
    <row r="197" spans="1:16" ht="15" customHeight="1" x14ac:dyDescent="0.2">
      <c r="A197" s="40"/>
      <c r="B197" s="31"/>
      <c r="C197" s="41"/>
      <c r="D197" s="49"/>
      <c r="E197" s="49"/>
      <c r="F197" s="49"/>
      <c r="G197" s="50"/>
      <c r="H197" s="41"/>
      <c r="I197" s="42"/>
      <c r="J197" s="46"/>
      <c r="K197" s="47"/>
      <c r="L197" s="34">
        <f>(Table210[[#This Row],[Unit cost]]*Table311[[#This Row],[FX]])+Table210[[#This Row],[Unit cost]]</f>
        <v>0</v>
      </c>
      <c r="M197" s="44">
        <f>I197*Table2[[#This Row],[Unit cost FX]]</f>
        <v>0</v>
      </c>
      <c r="N197" s="47"/>
      <c r="O197" s="37">
        <f>Table2[[#This Row],[Unit cost FX]]*N197+Table2[[#This Row],[Unit cost FX]]</f>
        <v>0</v>
      </c>
      <c r="P197" s="44">
        <f>'H.W&amp;S.W&amp;Services'!$O197*'H.W&amp;S.W&amp;Services'!$I197</f>
        <v>0</v>
      </c>
    </row>
    <row r="198" spans="1:16" ht="15" customHeight="1" x14ac:dyDescent="0.2">
      <c r="A198" s="40"/>
      <c r="B198" s="31"/>
      <c r="C198" s="41"/>
      <c r="D198" s="49"/>
      <c r="E198" s="49"/>
      <c r="F198" s="49"/>
      <c r="G198" s="50"/>
      <c r="H198" s="41"/>
      <c r="I198" s="42"/>
      <c r="J198" s="46"/>
      <c r="K198" s="47"/>
      <c r="L198" s="34">
        <f>(Table210[[#This Row],[Unit cost]]*Table311[[#This Row],[FX]])+Table210[[#This Row],[Unit cost]]</f>
        <v>0</v>
      </c>
      <c r="M198" s="44">
        <f>I198*Table2[[#This Row],[Unit cost FX]]</f>
        <v>0</v>
      </c>
      <c r="N198" s="47"/>
      <c r="O198" s="37">
        <f>Table2[[#This Row],[Unit cost FX]]*N198+Table2[[#This Row],[Unit cost FX]]</f>
        <v>0</v>
      </c>
      <c r="P198" s="44">
        <f>'H.W&amp;S.W&amp;Services'!$O198*'H.W&amp;S.W&amp;Services'!$I198</f>
        <v>0</v>
      </c>
    </row>
    <row r="199" spans="1:16" ht="15" customHeight="1" x14ac:dyDescent="0.2">
      <c r="A199" s="40"/>
      <c r="B199" s="31"/>
      <c r="C199" s="41"/>
      <c r="D199" s="49"/>
      <c r="E199" s="49"/>
      <c r="F199" s="49"/>
      <c r="G199" s="50"/>
      <c r="H199" s="41"/>
      <c r="I199" s="42"/>
      <c r="J199" s="46"/>
      <c r="K199" s="47"/>
      <c r="L199" s="34">
        <f>(Table210[[#This Row],[Unit cost]]*Table311[[#This Row],[FX]])+Table210[[#This Row],[Unit cost]]</f>
        <v>0</v>
      </c>
      <c r="M199" s="44">
        <f>I199*Table2[[#This Row],[Unit cost FX]]</f>
        <v>0</v>
      </c>
      <c r="N199" s="47"/>
      <c r="O199" s="37">
        <f>Table2[[#This Row],[Unit cost FX]]*N199+Table2[[#This Row],[Unit cost FX]]</f>
        <v>0</v>
      </c>
      <c r="P199" s="44">
        <f>'H.W&amp;S.W&amp;Services'!$O199*'H.W&amp;S.W&amp;Services'!$I199</f>
        <v>0</v>
      </c>
    </row>
    <row r="200" spans="1:16" ht="15" customHeight="1" x14ac:dyDescent="0.2">
      <c r="A200" s="40"/>
      <c r="B200" s="31"/>
      <c r="C200" s="41"/>
      <c r="D200" s="49"/>
      <c r="E200" s="49"/>
      <c r="F200" s="49"/>
      <c r="G200" s="50"/>
      <c r="H200" s="41"/>
      <c r="I200" s="42"/>
      <c r="J200" s="46"/>
      <c r="K200" s="47"/>
      <c r="L200" s="34">
        <f>(Table210[[#This Row],[Unit cost]]*Table311[[#This Row],[FX]])+Table210[[#This Row],[Unit cost]]</f>
        <v>0</v>
      </c>
      <c r="M200" s="44">
        <f>I200*Table2[[#This Row],[Unit cost FX]]</f>
        <v>0</v>
      </c>
      <c r="N200" s="47"/>
      <c r="O200" s="37">
        <f>Table2[[#This Row],[Unit cost FX]]*N200+Table2[[#This Row],[Unit cost FX]]</f>
        <v>0</v>
      </c>
      <c r="P200" s="44">
        <f>'H.W&amp;S.W&amp;Services'!$O200*'H.W&amp;S.W&amp;Services'!$I200</f>
        <v>0</v>
      </c>
    </row>
    <row r="201" spans="1:16" ht="15" customHeight="1" x14ac:dyDescent="0.2">
      <c r="A201" s="40"/>
      <c r="B201" s="31"/>
      <c r="C201" s="41"/>
      <c r="D201" s="49"/>
      <c r="E201" s="49"/>
      <c r="F201" s="49"/>
      <c r="G201" s="50"/>
      <c r="H201" s="41"/>
      <c r="I201" s="42"/>
      <c r="J201" s="46"/>
      <c r="K201" s="47"/>
      <c r="L201" s="34">
        <f>(Table210[[#This Row],[Unit cost]]*Table311[[#This Row],[FX]])+Table210[[#This Row],[Unit cost]]</f>
        <v>0</v>
      </c>
      <c r="M201" s="44">
        <f>I201*Table2[[#This Row],[Unit cost FX]]</f>
        <v>0</v>
      </c>
      <c r="N201" s="47"/>
      <c r="O201" s="37">
        <f>Table2[[#This Row],[Unit cost FX]]*N201+Table2[[#This Row],[Unit cost FX]]</f>
        <v>0</v>
      </c>
      <c r="P201" s="44">
        <f>'H.W&amp;S.W&amp;Services'!$O201*'H.W&amp;S.W&amp;Services'!$I201</f>
        <v>0</v>
      </c>
    </row>
    <row r="202" spans="1:16" ht="15" customHeight="1" x14ac:dyDescent="0.2">
      <c r="A202" s="40"/>
      <c r="B202" s="31"/>
      <c r="C202" s="41"/>
      <c r="D202" s="49"/>
      <c r="E202" s="49"/>
      <c r="F202" s="49"/>
      <c r="G202" s="50"/>
      <c r="H202" s="41"/>
      <c r="I202" s="42"/>
      <c r="J202" s="46"/>
      <c r="K202" s="47"/>
      <c r="L202" s="34">
        <f>(Table210[[#This Row],[Unit cost]]*Table311[[#This Row],[FX]])+Table210[[#This Row],[Unit cost]]</f>
        <v>0</v>
      </c>
      <c r="M202" s="44">
        <f>I202*Table2[[#This Row],[Unit cost FX]]</f>
        <v>0</v>
      </c>
      <c r="N202" s="47"/>
      <c r="O202" s="37">
        <f>Table2[[#This Row],[Unit cost FX]]*N202+Table2[[#This Row],[Unit cost FX]]</f>
        <v>0</v>
      </c>
      <c r="P202" s="44">
        <f>'H.W&amp;S.W&amp;Services'!$O202*'H.W&amp;S.W&amp;Services'!$I202</f>
        <v>0</v>
      </c>
    </row>
    <row r="203" spans="1:16" ht="15" customHeight="1" x14ac:dyDescent="0.2">
      <c r="A203" s="40"/>
      <c r="B203" s="31"/>
      <c r="C203" s="41"/>
      <c r="D203" s="49"/>
      <c r="E203" s="49"/>
      <c r="F203" s="49"/>
      <c r="G203" s="50"/>
      <c r="H203" s="41"/>
      <c r="I203" s="42"/>
      <c r="J203" s="46"/>
      <c r="K203" s="47"/>
      <c r="L203" s="34">
        <f>(Table210[[#This Row],[Unit cost]]*Table311[[#This Row],[FX]])+Table210[[#This Row],[Unit cost]]</f>
        <v>0</v>
      </c>
      <c r="M203" s="44">
        <f>I203*Table2[[#This Row],[Unit cost FX]]</f>
        <v>0</v>
      </c>
      <c r="N203" s="47"/>
      <c r="O203" s="37">
        <f>Table2[[#This Row],[Unit cost FX]]*N203+Table2[[#This Row],[Unit cost FX]]</f>
        <v>0</v>
      </c>
      <c r="P203" s="44">
        <f>'H.W&amp;S.W&amp;Services'!$O203*'H.W&amp;S.W&amp;Services'!$I203</f>
        <v>0</v>
      </c>
    </row>
    <row r="204" spans="1:16" ht="15" customHeight="1" x14ac:dyDescent="0.2">
      <c r="A204" s="40"/>
      <c r="B204" s="31"/>
      <c r="C204" s="41"/>
      <c r="D204" s="49"/>
      <c r="E204" s="49"/>
      <c r="F204" s="49"/>
      <c r="G204" s="50"/>
      <c r="H204" s="41"/>
      <c r="I204" s="42"/>
      <c r="J204" s="46"/>
      <c r="K204" s="47"/>
      <c r="L204" s="34">
        <f>(Table210[[#This Row],[Unit cost]]*Table311[[#This Row],[FX]])+Table210[[#This Row],[Unit cost]]</f>
        <v>0</v>
      </c>
      <c r="M204" s="44">
        <f>I204*Table2[[#This Row],[Unit cost FX]]</f>
        <v>0</v>
      </c>
      <c r="N204" s="47"/>
      <c r="O204" s="37">
        <f>Table2[[#This Row],[Unit cost FX]]*N204+Table2[[#This Row],[Unit cost FX]]</f>
        <v>0</v>
      </c>
      <c r="P204" s="44">
        <f>'H.W&amp;S.W&amp;Services'!$O204*'H.W&amp;S.W&amp;Services'!$I204</f>
        <v>0</v>
      </c>
    </row>
    <row r="205" spans="1:16" ht="15" customHeight="1" x14ac:dyDescent="0.2">
      <c r="A205" s="40"/>
      <c r="B205" s="31"/>
      <c r="C205" s="41"/>
      <c r="D205" s="49"/>
      <c r="E205" s="49"/>
      <c r="F205" s="49"/>
      <c r="G205" s="50"/>
      <c r="H205" s="41"/>
      <c r="I205" s="42"/>
      <c r="J205" s="46"/>
      <c r="K205" s="47"/>
      <c r="L205" s="34">
        <f>(Table210[[#This Row],[Unit cost]]*Table311[[#This Row],[FX]])+Table210[[#This Row],[Unit cost]]</f>
        <v>0</v>
      </c>
      <c r="M205" s="44">
        <f>I205*Table2[[#This Row],[Unit cost FX]]</f>
        <v>0</v>
      </c>
      <c r="N205" s="47"/>
      <c r="O205" s="37">
        <f>Table2[[#This Row],[Unit cost FX]]*N205+Table2[[#This Row],[Unit cost FX]]</f>
        <v>0</v>
      </c>
      <c r="P205" s="44">
        <f>'H.W&amp;S.W&amp;Services'!$O205*'H.W&amp;S.W&amp;Services'!$I205</f>
        <v>0</v>
      </c>
    </row>
    <row r="206" spans="1:16" ht="15" customHeight="1" x14ac:dyDescent="0.2">
      <c r="A206" s="40"/>
      <c r="B206" s="31"/>
      <c r="C206" s="41"/>
      <c r="D206" s="49"/>
      <c r="E206" s="49"/>
      <c r="F206" s="49"/>
      <c r="G206" s="50"/>
      <c r="H206" s="41"/>
      <c r="I206" s="42"/>
      <c r="J206" s="46"/>
      <c r="K206" s="47"/>
      <c r="L206" s="34">
        <f>(Table210[[#This Row],[Unit cost]]*Table311[[#This Row],[FX]])+Table210[[#This Row],[Unit cost]]</f>
        <v>0</v>
      </c>
      <c r="M206" s="44">
        <f>I206*Table2[[#This Row],[Unit cost FX]]</f>
        <v>0</v>
      </c>
      <c r="N206" s="47"/>
      <c r="O206" s="37">
        <f>Table2[[#This Row],[Unit cost FX]]*N206+Table2[[#This Row],[Unit cost FX]]</f>
        <v>0</v>
      </c>
      <c r="P206" s="44">
        <f>'H.W&amp;S.W&amp;Services'!$O206*'H.W&amp;S.W&amp;Services'!$I206</f>
        <v>0</v>
      </c>
    </row>
    <row r="207" spans="1:16" ht="15" customHeight="1" x14ac:dyDescent="0.2">
      <c r="A207" s="40"/>
      <c r="B207" s="31"/>
      <c r="C207" s="41"/>
      <c r="D207" s="49"/>
      <c r="E207" s="49"/>
      <c r="F207" s="49"/>
      <c r="G207" s="50"/>
      <c r="H207" s="41"/>
      <c r="I207" s="42"/>
      <c r="J207" s="46"/>
      <c r="K207" s="47"/>
      <c r="L207" s="34">
        <f>(Table210[[#This Row],[Unit cost]]*Table311[[#This Row],[FX]])+Table210[[#This Row],[Unit cost]]</f>
        <v>0</v>
      </c>
      <c r="M207" s="44">
        <f>I207*Table2[[#This Row],[Unit cost FX]]</f>
        <v>0</v>
      </c>
      <c r="N207" s="47"/>
      <c r="O207" s="37">
        <f>Table2[[#This Row],[Unit cost FX]]*N207+Table2[[#This Row],[Unit cost FX]]</f>
        <v>0</v>
      </c>
      <c r="P207" s="44">
        <f>'H.W&amp;S.W&amp;Services'!$O207*'H.W&amp;S.W&amp;Services'!$I207</f>
        <v>0</v>
      </c>
    </row>
    <row r="208" spans="1:16" ht="15" customHeight="1" x14ac:dyDescent="0.2">
      <c r="A208" s="40"/>
      <c r="B208" s="31"/>
      <c r="C208" s="41"/>
      <c r="D208" s="49"/>
      <c r="E208" s="49"/>
      <c r="F208" s="49"/>
      <c r="G208" s="50"/>
      <c r="H208" s="41"/>
      <c r="I208" s="42"/>
      <c r="J208" s="46"/>
      <c r="K208" s="47"/>
      <c r="L208" s="34">
        <f>(Table210[[#This Row],[Unit cost]]*Table311[[#This Row],[FX]])+Table210[[#This Row],[Unit cost]]</f>
        <v>0</v>
      </c>
      <c r="M208" s="44">
        <f>I208*Table2[[#This Row],[Unit cost FX]]</f>
        <v>0</v>
      </c>
      <c r="N208" s="47"/>
      <c r="O208" s="37">
        <f>Table2[[#This Row],[Unit cost FX]]*N208+Table2[[#This Row],[Unit cost FX]]</f>
        <v>0</v>
      </c>
      <c r="P208" s="44">
        <f>'H.W&amp;S.W&amp;Services'!$O208*'H.W&amp;S.W&amp;Services'!$I208</f>
        <v>0</v>
      </c>
    </row>
    <row r="209" spans="1:16" ht="15" customHeight="1" x14ac:dyDescent="0.2">
      <c r="A209" s="40"/>
      <c r="B209" s="31"/>
      <c r="C209" s="41"/>
      <c r="D209" s="49"/>
      <c r="E209" s="49"/>
      <c r="F209" s="49"/>
      <c r="G209" s="50"/>
      <c r="H209" s="41"/>
      <c r="I209" s="42"/>
      <c r="J209" s="46"/>
      <c r="K209" s="47"/>
      <c r="L209" s="34">
        <f>(Table210[[#This Row],[Unit cost]]*Table311[[#This Row],[FX]])+Table210[[#This Row],[Unit cost]]</f>
        <v>0</v>
      </c>
      <c r="M209" s="44">
        <f>I209*Table2[[#This Row],[Unit cost FX]]</f>
        <v>0</v>
      </c>
      <c r="N209" s="47"/>
      <c r="O209" s="37">
        <f>Table2[[#This Row],[Unit cost FX]]*N209+Table2[[#This Row],[Unit cost FX]]</f>
        <v>0</v>
      </c>
      <c r="P209" s="44">
        <f>'H.W&amp;S.W&amp;Services'!$O209*'H.W&amp;S.W&amp;Services'!$I209</f>
        <v>0</v>
      </c>
    </row>
    <row r="210" spans="1:16" ht="15" customHeight="1" x14ac:dyDescent="0.2">
      <c r="A210" s="40"/>
      <c r="B210" s="31"/>
      <c r="C210" s="41"/>
      <c r="D210" s="49"/>
      <c r="E210" s="49"/>
      <c r="F210" s="49"/>
      <c r="G210" s="50"/>
      <c r="H210" s="41"/>
      <c r="I210" s="42"/>
      <c r="J210" s="46"/>
      <c r="K210" s="47"/>
      <c r="L210" s="34">
        <f>(Table210[[#This Row],[Unit cost]]*Table311[[#This Row],[FX]])+Table210[[#This Row],[Unit cost]]</f>
        <v>0</v>
      </c>
      <c r="M210" s="44">
        <f>I210*Table2[[#This Row],[Unit cost FX]]</f>
        <v>0</v>
      </c>
      <c r="N210" s="47"/>
      <c r="O210" s="37">
        <f>Table2[[#This Row],[Unit cost FX]]*N210+Table2[[#This Row],[Unit cost FX]]</f>
        <v>0</v>
      </c>
      <c r="P210" s="44">
        <f>'H.W&amp;S.W&amp;Services'!$O210*'H.W&amp;S.W&amp;Services'!$I210</f>
        <v>0</v>
      </c>
    </row>
    <row r="211" spans="1:16" ht="15" customHeight="1" x14ac:dyDescent="0.2">
      <c r="A211" s="40"/>
      <c r="B211" s="31"/>
      <c r="C211" s="41"/>
      <c r="D211" s="49"/>
      <c r="E211" s="49"/>
      <c r="F211" s="49"/>
      <c r="G211" s="50"/>
      <c r="H211" s="41"/>
      <c r="I211" s="42"/>
      <c r="J211" s="46"/>
      <c r="K211" s="47"/>
      <c r="L211" s="34">
        <f>(Table210[[#This Row],[Unit cost]]*Table311[[#This Row],[FX]])+Table210[[#This Row],[Unit cost]]</f>
        <v>0</v>
      </c>
      <c r="M211" s="44">
        <f>I211*Table2[[#This Row],[Unit cost FX]]</f>
        <v>0</v>
      </c>
      <c r="N211" s="47"/>
      <c r="O211" s="37">
        <f>Table2[[#This Row],[Unit cost FX]]*N211+Table2[[#This Row],[Unit cost FX]]</f>
        <v>0</v>
      </c>
      <c r="P211" s="44">
        <f>'H.W&amp;S.W&amp;Services'!$O211*'H.W&amp;S.W&amp;Services'!$I211</f>
        <v>0</v>
      </c>
    </row>
    <row r="212" spans="1:16" ht="15" customHeight="1" x14ac:dyDescent="0.2">
      <c r="A212" s="40"/>
      <c r="B212" s="31"/>
      <c r="C212" s="41"/>
      <c r="D212" s="49"/>
      <c r="E212" s="49"/>
      <c r="F212" s="49"/>
      <c r="G212" s="50"/>
      <c r="H212" s="41"/>
      <c r="I212" s="42"/>
      <c r="J212" s="46"/>
      <c r="K212" s="47"/>
      <c r="L212" s="34">
        <f>(Table210[[#This Row],[Unit cost]]*Table311[[#This Row],[FX]])+Table210[[#This Row],[Unit cost]]</f>
        <v>0</v>
      </c>
      <c r="M212" s="44">
        <f>I212*Table2[[#This Row],[Unit cost FX]]</f>
        <v>0</v>
      </c>
      <c r="N212" s="47"/>
      <c r="O212" s="37">
        <f>Table2[[#This Row],[Unit cost FX]]*N212+Table2[[#This Row],[Unit cost FX]]</f>
        <v>0</v>
      </c>
      <c r="P212" s="44">
        <f>'H.W&amp;S.W&amp;Services'!$O212*'H.W&amp;S.W&amp;Services'!$I212</f>
        <v>0</v>
      </c>
    </row>
    <row r="213" spans="1:16" ht="15" customHeight="1" x14ac:dyDescent="0.2">
      <c r="A213" s="40"/>
      <c r="B213" s="31"/>
      <c r="C213" s="41"/>
      <c r="D213" s="49"/>
      <c r="E213" s="49"/>
      <c r="F213" s="49"/>
      <c r="G213" s="50"/>
      <c r="H213" s="41"/>
      <c r="I213" s="42"/>
      <c r="J213" s="46"/>
      <c r="K213" s="47"/>
      <c r="L213" s="34">
        <f>(Table210[[#This Row],[Unit cost]]*Table311[[#This Row],[FX]])+Table210[[#This Row],[Unit cost]]</f>
        <v>0</v>
      </c>
      <c r="M213" s="44">
        <f>I213*Table2[[#This Row],[Unit cost FX]]</f>
        <v>0</v>
      </c>
      <c r="N213" s="47"/>
      <c r="O213" s="37">
        <f>Table2[[#This Row],[Unit cost FX]]*N213+Table2[[#This Row],[Unit cost FX]]</f>
        <v>0</v>
      </c>
      <c r="P213" s="44">
        <f>'H.W&amp;S.W&amp;Services'!$O213*'H.W&amp;S.W&amp;Services'!$I213</f>
        <v>0</v>
      </c>
    </row>
    <row r="214" spans="1:16" ht="15" customHeight="1" x14ac:dyDescent="0.2">
      <c r="A214" s="40"/>
      <c r="B214" s="31"/>
      <c r="C214" s="41"/>
      <c r="D214" s="49"/>
      <c r="E214" s="49"/>
      <c r="F214" s="49"/>
      <c r="G214" s="50"/>
      <c r="H214" s="41"/>
      <c r="I214" s="42"/>
      <c r="J214" s="46"/>
      <c r="K214" s="47"/>
      <c r="L214" s="34">
        <f>(Table210[[#This Row],[Unit cost]]*Table311[[#This Row],[FX]])+Table210[[#This Row],[Unit cost]]</f>
        <v>0</v>
      </c>
      <c r="M214" s="44">
        <f>I214*Table2[[#This Row],[Unit cost FX]]</f>
        <v>0</v>
      </c>
      <c r="N214" s="47"/>
      <c r="O214" s="37">
        <f>Table2[[#This Row],[Unit cost FX]]*N214+Table2[[#This Row],[Unit cost FX]]</f>
        <v>0</v>
      </c>
      <c r="P214" s="44">
        <f>'H.W&amp;S.W&amp;Services'!$O214*'H.W&amp;S.W&amp;Services'!$I214</f>
        <v>0</v>
      </c>
    </row>
    <row r="215" spans="1:16" ht="15" customHeight="1" x14ac:dyDescent="0.2">
      <c r="A215" s="40"/>
      <c r="B215" s="31"/>
      <c r="C215" s="41"/>
      <c r="D215" s="49"/>
      <c r="E215" s="49"/>
      <c r="F215" s="49"/>
      <c r="G215" s="50"/>
      <c r="H215" s="41"/>
      <c r="I215" s="42"/>
      <c r="J215" s="46"/>
      <c r="K215" s="47"/>
      <c r="L215" s="34">
        <f>(Table210[[#This Row],[Unit cost]]*Table311[[#This Row],[FX]])+Table210[[#This Row],[Unit cost]]</f>
        <v>0</v>
      </c>
      <c r="M215" s="44">
        <f>I215*Table2[[#This Row],[Unit cost FX]]</f>
        <v>0</v>
      </c>
      <c r="N215" s="47"/>
      <c r="O215" s="37">
        <f>Table2[[#This Row],[Unit cost FX]]*N215+Table2[[#This Row],[Unit cost FX]]</f>
        <v>0</v>
      </c>
      <c r="P215" s="44">
        <f>'H.W&amp;S.W&amp;Services'!$O215*'H.W&amp;S.W&amp;Services'!$I215</f>
        <v>0</v>
      </c>
    </row>
    <row r="216" spans="1:16" ht="15" customHeight="1" x14ac:dyDescent="0.2">
      <c r="A216" s="40"/>
      <c r="B216" s="31"/>
      <c r="C216" s="41"/>
      <c r="D216" s="49"/>
      <c r="E216" s="49"/>
      <c r="F216" s="49"/>
      <c r="G216" s="50"/>
      <c r="H216" s="41"/>
      <c r="I216" s="42"/>
      <c r="J216" s="46"/>
      <c r="K216" s="47"/>
      <c r="L216" s="34">
        <f>(Table210[[#This Row],[Unit cost]]*Table311[[#This Row],[FX]])+Table210[[#This Row],[Unit cost]]</f>
        <v>0</v>
      </c>
      <c r="M216" s="44">
        <f>I216*Table2[[#This Row],[Unit cost FX]]</f>
        <v>0</v>
      </c>
      <c r="N216" s="47"/>
      <c r="O216" s="37">
        <f>Table2[[#This Row],[Unit cost FX]]*N216+Table2[[#This Row],[Unit cost FX]]</f>
        <v>0</v>
      </c>
      <c r="P216" s="44">
        <f>'H.W&amp;S.W&amp;Services'!$O216*'H.W&amp;S.W&amp;Services'!$I216</f>
        <v>0</v>
      </c>
    </row>
    <row r="217" spans="1:16" ht="15" customHeight="1" x14ac:dyDescent="0.2">
      <c r="A217" s="40"/>
      <c r="B217" s="31"/>
      <c r="C217" s="41"/>
      <c r="D217" s="49"/>
      <c r="E217" s="49"/>
      <c r="F217" s="49"/>
      <c r="G217" s="50"/>
      <c r="H217" s="41"/>
      <c r="I217" s="42"/>
      <c r="J217" s="46"/>
      <c r="K217" s="47"/>
      <c r="L217" s="34">
        <f>(Table210[[#This Row],[Unit cost]]*Table311[[#This Row],[FX]])+Table210[[#This Row],[Unit cost]]</f>
        <v>0</v>
      </c>
      <c r="M217" s="44">
        <f>I217*Table2[[#This Row],[Unit cost FX]]</f>
        <v>0</v>
      </c>
      <c r="N217" s="47"/>
      <c r="O217" s="37">
        <f>Table2[[#This Row],[Unit cost FX]]*N217+Table2[[#This Row],[Unit cost FX]]</f>
        <v>0</v>
      </c>
      <c r="P217" s="44">
        <f>'H.W&amp;S.W&amp;Services'!$O217*'H.W&amp;S.W&amp;Services'!$I217</f>
        <v>0</v>
      </c>
    </row>
    <row r="218" spans="1:16" ht="15" customHeight="1" x14ac:dyDescent="0.2">
      <c r="A218" s="40"/>
      <c r="B218" s="31"/>
      <c r="C218" s="41"/>
      <c r="D218" s="49"/>
      <c r="E218" s="49"/>
      <c r="F218" s="49"/>
      <c r="G218" s="50"/>
      <c r="H218" s="41"/>
      <c r="I218" s="42"/>
      <c r="J218" s="46"/>
      <c r="K218" s="47"/>
      <c r="L218" s="34">
        <f>(Table210[[#This Row],[Unit cost]]*Table311[[#This Row],[FX]])+Table210[[#This Row],[Unit cost]]</f>
        <v>0</v>
      </c>
      <c r="M218" s="44">
        <f>I218*Table2[[#This Row],[Unit cost FX]]</f>
        <v>0</v>
      </c>
      <c r="N218" s="47"/>
      <c r="O218" s="37">
        <f>Table2[[#This Row],[Unit cost FX]]*N218+Table2[[#This Row],[Unit cost FX]]</f>
        <v>0</v>
      </c>
      <c r="P218" s="44">
        <f>'H.W&amp;S.W&amp;Services'!$O218*'H.W&amp;S.W&amp;Services'!$I218</f>
        <v>0</v>
      </c>
    </row>
    <row r="219" spans="1:16" ht="15" customHeight="1" x14ac:dyDescent="0.2">
      <c r="A219" s="40"/>
      <c r="B219" s="31"/>
      <c r="C219" s="41"/>
      <c r="D219" s="49"/>
      <c r="E219" s="49"/>
      <c r="F219" s="49"/>
      <c r="G219" s="50"/>
      <c r="H219" s="41"/>
      <c r="I219" s="42"/>
      <c r="J219" s="46"/>
      <c r="K219" s="47"/>
      <c r="L219" s="34">
        <f>(Table210[[#This Row],[Unit cost]]*Table311[[#This Row],[FX]])+Table210[[#This Row],[Unit cost]]</f>
        <v>0</v>
      </c>
      <c r="M219" s="44">
        <f>I219*Table2[[#This Row],[Unit cost FX]]</f>
        <v>0</v>
      </c>
      <c r="N219" s="47"/>
      <c r="O219" s="37">
        <f>Table2[[#This Row],[Unit cost FX]]*N219+Table2[[#This Row],[Unit cost FX]]</f>
        <v>0</v>
      </c>
      <c r="P219" s="44">
        <f>'H.W&amp;S.W&amp;Services'!$O219*'H.W&amp;S.W&amp;Services'!$I219</f>
        <v>0</v>
      </c>
    </row>
    <row r="220" spans="1:16" ht="15" customHeight="1" x14ac:dyDescent="0.2">
      <c r="A220" s="40"/>
      <c r="B220" s="31"/>
      <c r="C220" s="41"/>
      <c r="D220" s="49"/>
      <c r="E220" s="49"/>
      <c r="F220" s="49"/>
      <c r="G220" s="50"/>
      <c r="H220" s="41"/>
      <c r="I220" s="42"/>
      <c r="J220" s="46"/>
      <c r="K220" s="47"/>
      <c r="L220" s="34">
        <f>(Table210[[#This Row],[Unit cost]]*Table311[[#This Row],[FX]])+Table210[[#This Row],[Unit cost]]</f>
        <v>0</v>
      </c>
      <c r="M220" s="44">
        <f>I220*Table2[[#This Row],[Unit cost FX]]</f>
        <v>0</v>
      </c>
      <c r="N220" s="47"/>
      <c r="O220" s="37">
        <f>Table2[[#This Row],[Unit cost FX]]*N220+Table2[[#This Row],[Unit cost FX]]</f>
        <v>0</v>
      </c>
      <c r="P220" s="44">
        <f>'H.W&amp;S.W&amp;Services'!$O220*'H.W&amp;S.W&amp;Services'!$I220</f>
        <v>0</v>
      </c>
    </row>
    <row r="221" spans="1:16" ht="15" customHeight="1" x14ac:dyDescent="0.2">
      <c r="A221" s="40"/>
      <c r="B221" s="31"/>
      <c r="C221" s="41"/>
      <c r="D221" s="49"/>
      <c r="E221" s="49"/>
      <c r="F221" s="49"/>
      <c r="G221" s="50"/>
      <c r="H221" s="41"/>
      <c r="I221" s="42"/>
      <c r="J221" s="46"/>
      <c r="K221" s="47"/>
      <c r="L221" s="34">
        <f>(Table210[[#This Row],[Unit cost]]*Table311[[#This Row],[FX]])+Table210[[#This Row],[Unit cost]]</f>
        <v>0</v>
      </c>
      <c r="M221" s="44">
        <f>I221*Table2[[#This Row],[Unit cost FX]]</f>
        <v>0</v>
      </c>
      <c r="N221" s="47"/>
      <c r="O221" s="37">
        <f>Table2[[#This Row],[Unit cost FX]]*N221+Table2[[#This Row],[Unit cost FX]]</f>
        <v>0</v>
      </c>
      <c r="P221" s="44">
        <f>'H.W&amp;S.W&amp;Services'!$O221*'H.W&amp;S.W&amp;Services'!$I221</f>
        <v>0</v>
      </c>
    </row>
    <row r="222" spans="1:16" ht="15" customHeight="1" x14ac:dyDescent="0.2">
      <c r="A222" s="40"/>
      <c r="B222" s="31"/>
      <c r="C222" s="41"/>
      <c r="D222" s="49"/>
      <c r="E222" s="49"/>
      <c r="F222" s="49"/>
      <c r="G222" s="50"/>
      <c r="H222" s="41"/>
      <c r="I222" s="42"/>
      <c r="J222" s="46"/>
      <c r="K222" s="47"/>
      <c r="L222" s="34">
        <f>(Table210[[#This Row],[Unit cost]]*Table311[[#This Row],[FX]])+Table210[[#This Row],[Unit cost]]</f>
        <v>0</v>
      </c>
      <c r="M222" s="44">
        <f>I222*Table2[[#This Row],[Unit cost FX]]</f>
        <v>0</v>
      </c>
      <c r="N222" s="47"/>
      <c r="O222" s="37">
        <f>Table2[[#This Row],[Unit cost FX]]*N222+Table2[[#This Row],[Unit cost FX]]</f>
        <v>0</v>
      </c>
      <c r="P222" s="44">
        <f>'H.W&amp;S.W&amp;Services'!$O222*'H.W&amp;S.W&amp;Services'!$I222</f>
        <v>0</v>
      </c>
    </row>
    <row r="223" spans="1:16" ht="15" customHeight="1" x14ac:dyDescent="0.2">
      <c r="A223" s="40"/>
      <c r="B223" s="31"/>
      <c r="C223" s="41"/>
      <c r="D223" s="49"/>
      <c r="E223" s="49"/>
      <c r="F223" s="49"/>
      <c r="G223" s="50"/>
      <c r="H223" s="41"/>
      <c r="I223" s="42"/>
      <c r="J223" s="46"/>
      <c r="K223" s="47"/>
      <c r="L223" s="34">
        <f>(Table210[[#This Row],[Unit cost]]*Table311[[#This Row],[FX]])+Table210[[#This Row],[Unit cost]]</f>
        <v>0</v>
      </c>
      <c r="M223" s="44">
        <f>I223*Table2[[#This Row],[Unit cost FX]]</f>
        <v>0</v>
      </c>
      <c r="N223" s="47"/>
      <c r="O223" s="37">
        <f>Table2[[#This Row],[Unit cost FX]]*N223+Table2[[#This Row],[Unit cost FX]]</f>
        <v>0</v>
      </c>
      <c r="P223" s="44">
        <f>'H.W&amp;S.W&amp;Services'!$O223*'H.W&amp;S.W&amp;Services'!$I223</f>
        <v>0</v>
      </c>
    </row>
    <row r="224" spans="1:16" ht="15" customHeight="1" x14ac:dyDescent="0.2">
      <c r="A224" s="40"/>
      <c r="B224" s="31"/>
      <c r="C224" s="41"/>
      <c r="D224" s="49"/>
      <c r="E224" s="49"/>
      <c r="F224" s="49"/>
      <c r="G224" s="50"/>
      <c r="H224" s="41"/>
      <c r="I224" s="42"/>
      <c r="J224" s="46"/>
      <c r="K224" s="47"/>
      <c r="L224" s="34">
        <f>(Table210[[#This Row],[Unit cost]]*Table311[[#This Row],[FX]])+Table210[[#This Row],[Unit cost]]</f>
        <v>0</v>
      </c>
      <c r="M224" s="44">
        <f>I224*Table2[[#This Row],[Unit cost FX]]</f>
        <v>0</v>
      </c>
      <c r="N224" s="47"/>
      <c r="O224" s="37">
        <f>Table2[[#This Row],[Unit cost FX]]*N224+Table2[[#This Row],[Unit cost FX]]</f>
        <v>0</v>
      </c>
      <c r="P224" s="44">
        <f>'H.W&amp;S.W&amp;Services'!$O224*'H.W&amp;S.W&amp;Services'!$I224</f>
        <v>0</v>
      </c>
    </row>
    <row r="225" spans="1:16" ht="15" customHeight="1" x14ac:dyDescent="0.2">
      <c r="A225" s="40"/>
      <c r="B225" s="31"/>
      <c r="C225" s="41"/>
      <c r="D225" s="49"/>
      <c r="E225" s="49"/>
      <c r="F225" s="49"/>
      <c r="G225" s="50"/>
      <c r="H225" s="41"/>
      <c r="I225" s="42"/>
      <c r="J225" s="46"/>
      <c r="K225" s="47"/>
      <c r="L225" s="34">
        <f>(Table210[[#This Row],[Unit cost]]*Table311[[#This Row],[FX]])+Table210[[#This Row],[Unit cost]]</f>
        <v>0</v>
      </c>
      <c r="M225" s="44">
        <f>I225*Table2[[#This Row],[Unit cost FX]]</f>
        <v>0</v>
      </c>
      <c r="N225" s="47"/>
      <c r="O225" s="37">
        <f>Table2[[#This Row],[Unit cost FX]]*N225+Table2[[#This Row],[Unit cost FX]]</f>
        <v>0</v>
      </c>
      <c r="P225" s="44">
        <f>'H.W&amp;S.W&amp;Services'!$O225*'H.W&amp;S.W&amp;Services'!$I225</f>
        <v>0</v>
      </c>
    </row>
    <row r="226" spans="1:16" ht="15" customHeight="1" x14ac:dyDescent="0.2">
      <c r="A226" s="40"/>
      <c r="B226" s="31"/>
      <c r="C226" s="41"/>
      <c r="D226" s="49"/>
      <c r="E226" s="49"/>
      <c r="F226" s="49"/>
      <c r="G226" s="50"/>
      <c r="H226" s="41"/>
      <c r="I226" s="42"/>
      <c r="J226" s="46"/>
      <c r="K226" s="47"/>
      <c r="L226" s="34">
        <f>(Table210[[#This Row],[Unit cost]]*Table311[[#This Row],[FX]])+Table210[[#This Row],[Unit cost]]</f>
        <v>0</v>
      </c>
      <c r="M226" s="44">
        <f>I226*Table2[[#This Row],[Unit cost FX]]</f>
        <v>0</v>
      </c>
      <c r="N226" s="47"/>
      <c r="O226" s="37">
        <f>Table2[[#This Row],[Unit cost FX]]*N226+Table2[[#This Row],[Unit cost FX]]</f>
        <v>0</v>
      </c>
      <c r="P226" s="44">
        <f>'H.W&amp;S.W&amp;Services'!$O226*'H.W&amp;S.W&amp;Services'!$I226</f>
        <v>0</v>
      </c>
    </row>
    <row r="227" spans="1:16" ht="15" customHeight="1" x14ac:dyDescent="0.2">
      <c r="A227" s="40"/>
      <c r="B227" s="31"/>
      <c r="C227" s="41"/>
      <c r="D227" s="49"/>
      <c r="E227" s="49"/>
      <c r="F227" s="49"/>
      <c r="G227" s="50"/>
      <c r="H227" s="41"/>
      <c r="I227" s="42"/>
      <c r="J227" s="46"/>
      <c r="K227" s="47"/>
      <c r="L227" s="34">
        <f>(Table210[[#This Row],[Unit cost]]*Table311[[#This Row],[FX]])+Table210[[#This Row],[Unit cost]]</f>
        <v>0</v>
      </c>
      <c r="M227" s="44">
        <f>I227*Table2[[#This Row],[Unit cost FX]]</f>
        <v>0</v>
      </c>
      <c r="N227" s="47"/>
      <c r="O227" s="37">
        <f>Table2[[#This Row],[Unit cost FX]]*N227+Table2[[#This Row],[Unit cost FX]]</f>
        <v>0</v>
      </c>
      <c r="P227" s="44">
        <f>'H.W&amp;S.W&amp;Services'!$O227*'H.W&amp;S.W&amp;Services'!$I227</f>
        <v>0</v>
      </c>
    </row>
    <row r="228" spans="1:16" ht="15" customHeight="1" x14ac:dyDescent="0.2">
      <c r="A228" s="40"/>
      <c r="B228" s="31"/>
      <c r="C228" s="41"/>
      <c r="D228" s="49"/>
      <c r="E228" s="49"/>
      <c r="F228" s="49"/>
      <c r="G228" s="50"/>
      <c r="H228" s="41"/>
      <c r="I228" s="42"/>
      <c r="J228" s="46"/>
      <c r="K228" s="47"/>
      <c r="L228" s="34">
        <f>(Table210[[#This Row],[Unit cost]]*Table311[[#This Row],[FX]])+Table210[[#This Row],[Unit cost]]</f>
        <v>0</v>
      </c>
      <c r="M228" s="44">
        <f>I228*Table2[[#This Row],[Unit cost FX]]</f>
        <v>0</v>
      </c>
      <c r="N228" s="47"/>
      <c r="O228" s="37">
        <f>Table2[[#This Row],[Unit cost FX]]*N228+Table2[[#This Row],[Unit cost FX]]</f>
        <v>0</v>
      </c>
      <c r="P228" s="44">
        <f>'H.W&amp;S.W&amp;Services'!$O228*'H.W&amp;S.W&amp;Services'!$I228</f>
        <v>0</v>
      </c>
    </row>
    <row r="229" spans="1:16" ht="15" customHeight="1" x14ac:dyDescent="0.2">
      <c r="A229" s="40"/>
      <c r="B229" s="31"/>
      <c r="C229" s="41"/>
      <c r="D229" s="49"/>
      <c r="E229" s="49"/>
      <c r="F229" s="49"/>
      <c r="G229" s="50"/>
      <c r="H229" s="41"/>
      <c r="I229" s="42"/>
      <c r="J229" s="46"/>
      <c r="K229" s="47"/>
      <c r="L229" s="34">
        <f>(Table210[[#This Row],[Unit cost]]*Table311[[#This Row],[FX]])+Table210[[#This Row],[Unit cost]]</f>
        <v>0</v>
      </c>
      <c r="M229" s="44">
        <f>I229*Table2[[#This Row],[Unit cost FX]]</f>
        <v>0</v>
      </c>
      <c r="N229" s="47"/>
      <c r="O229" s="37">
        <f>Table2[[#This Row],[Unit cost FX]]*N229+Table2[[#This Row],[Unit cost FX]]</f>
        <v>0</v>
      </c>
      <c r="P229" s="44">
        <f>'H.W&amp;S.W&amp;Services'!$O229*'H.W&amp;S.W&amp;Services'!$I229</f>
        <v>0</v>
      </c>
    </row>
    <row r="230" spans="1:16" ht="15" customHeight="1" x14ac:dyDescent="0.2">
      <c r="A230" s="40"/>
      <c r="B230" s="31"/>
      <c r="C230" s="41"/>
      <c r="D230" s="49"/>
      <c r="E230" s="49"/>
      <c r="F230" s="49"/>
      <c r="G230" s="50"/>
      <c r="H230" s="41"/>
      <c r="I230" s="42"/>
      <c r="J230" s="46"/>
      <c r="K230" s="47"/>
      <c r="L230" s="34">
        <f>(Table210[[#This Row],[Unit cost]]*Table311[[#This Row],[FX]])+Table210[[#This Row],[Unit cost]]</f>
        <v>0</v>
      </c>
      <c r="M230" s="44">
        <f>I230*Table2[[#This Row],[Unit cost FX]]</f>
        <v>0</v>
      </c>
      <c r="N230" s="47"/>
      <c r="O230" s="37">
        <f>Table2[[#This Row],[Unit cost FX]]*N230+Table2[[#This Row],[Unit cost FX]]</f>
        <v>0</v>
      </c>
      <c r="P230" s="44">
        <f>'H.W&amp;S.W&amp;Services'!$O230*'H.W&amp;S.W&amp;Services'!$I230</f>
        <v>0</v>
      </c>
    </row>
    <row r="231" spans="1:16" ht="15" customHeight="1" x14ac:dyDescent="0.2">
      <c r="A231" s="40"/>
      <c r="B231" s="31"/>
      <c r="C231" s="41"/>
      <c r="D231" s="49"/>
      <c r="E231" s="49"/>
      <c r="F231" s="49"/>
      <c r="G231" s="50"/>
      <c r="H231" s="41"/>
      <c r="I231" s="42"/>
      <c r="J231" s="46"/>
      <c r="K231" s="47"/>
      <c r="L231" s="34">
        <f>(Table210[[#This Row],[Unit cost]]*Table311[[#This Row],[FX]])+Table210[[#This Row],[Unit cost]]</f>
        <v>0</v>
      </c>
      <c r="M231" s="44">
        <f>I231*Table2[[#This Row],[Unit cost FX]]</f>
        <v>0</v>
      </c>
      <c r="N231" s="47"/>
      <c r="O231" s="37">
        <f>Table2[[#This Row],[Unit cost FX]]*N231+Table2[[#This Row],[Unit cost FX]]</f>
        <v>0</v>
      </c>
      <c r="P231" s="44">
        <f>'H.W&amp;S.W&amp;Services'!$O231*'H.W&amp;S.W&amp;Services'!$I231</f>
        <v>0</v>
      </c>
    </row>
    <row r="232" spans="1:16" ht="15" customHeight="1" x14ac:dyDescent="0.2">
      <c r="A232" s="40"/>
      <c r="B232" s="31"/>
      <c r="C232" s="41"/>
      <c r="D232" s="49"/>
      <c r="E232" s="49"/>
      <c r="F232" s="49"/>
      <c r="G232" s="50"/>
      <c r="H232" s="41"/>
      <c r="I232" s="42"/>
      <c r="J232" s="46"/>
      <c r="K232" s="47"/>
      <c r="L232" s="34">
        <f>(Table210[[#This Row],[Unit cost]]*Table311[[#This Row],[FX]])+Table210[[#This Row],[Unit cost]]</f>
        <v>0</v>
      </c>
      <c r="M232" s="44">
        <f>I232*Table2[[#This Row],[Unit cost FX]]</f>
        <v>0</v>
      </c>
      <c r="N232" s="47"/>
      <c r="O232" s="37">
        <f>Table2[[#This Row],[Unit cost FX]]*N232+Table2[[#This Row],[Unit cost FX]]</f>
        <v>0</v>
      </c>
      <c r="P232" s="44">
        <f>'H.W&amp;S.W&amp;Services'!$O232*'H.W&amp;S.W&amp;Services'!$I232</f>
        <v>0</v>
      </c>
    </row>
    <row r="233" spans="1:16" ht="15" customHeight="1" x14ac:dyDescent="0.2">
      <c r="A233" s="40"/>
      <c r="B233" s="31"/>
      <c r="C233" s="41"/>
      <c r="D233" s="49"/>
      <c r="E233" s="49"/>
      <c r="F233" s="49"/>
      <c r="G233" s="50"/>
      <c r="H233" s="41"/>
      <c r="I233" s="42"/>
      <c r="J233" s="46"/>
      <c r="K233" s="47"/>
      <c r="L233" s="34">
        <f>(Table210[[#This Row],[Unit cost]]*Table311[[#This Row],[FX]])+Table210[[#This Row],[Unit cost]]</f>
        <v>0</v>
      </c>
      <c r="M233" s="44">
        <f>I233*Table2[[#This Row],[Unit cost FX]]</f>
        <v>0</v>
      </c>
      <c r="N233" s="47"/>
      <c r="O233" s="37">
        <f>Table2[[#This Row],[Unit cost FX]]*N233+Table2[[#This Row],[Unit cost FX]]</f>
        <v>0</v>
      </c>
      <c r="P233" s="44">
        <f>'H.W&amp;S.W&amp;Services'!$O233*'H.W&amp;S.W&amp;Services'!$I233</f>
        <v>0</v>
      </c>
    </row>
    <row r="234" spans="1:16" ht="15" customHeight="1" x14ac:dyDescent="0.2">
      <c r="A234" s="40"/>
      <c r="B234" s="31"/>
      <c r="C234" s="41"/>
      <c r="D234" s="49"/>
      <c r="E234" s="49"/>
      <c r="F234" s="49"/>
      <c r="G234" s="50"/>
      <c r="H234" s="41"/>
      <c r="I234" s="42"/>
      <c r="J234" s="46"/>
      <c r="K234" s="47"/>
      <c r="L234" s="34">
        <f>(Table210[[#This Row],[Unit cost]]*Table311[[#This Row],[FX]])+Table210[[#This Row],[Unit cost]]</f>
        <v>0</v>
      </c>
      <c r="M234" s="44">
        <f>I234*Table2[[#This Row],[Unit cost FX]]</f>
        <v>0</v>
      </c>
      <c r="N234" s="47"/>
      <c r="O234" s="37">
        <f>Table2[[#This Row],[Unit cost FX]]*N234+Table2[[#This Row],[Unit cost FX]]</f>
        <v>0</v>
      </c>
      <c r="P234" s="44">
        <f>'H.W&amp;S.W&amp;Services'!$O234*'H.W&amp;S.W&amp;Services'!$I234</f>
        <v>0</v>
      </c>
    </row>
    <row r="235" spans="1:16" ht="15" customHeight="1" x14ac:dyDescent="0.2">
      <c r="A235" s="40"/>
      <c r="B235" s="31"/>
      <c r="C235" s="41"/>
      <c r="D235" s="49"/>
      <c r="E235" s="49"/>
      <c r="F235" s="49"/>
      <c r="G235" s="50"/>
      <c r="H235" s="41"/>
      <c r="I235" s="42"/>
      <c r="J235" s="46"/>
      <c r="K235" s="47"/>
      <c r="L235" s="34">
        <f>(Table210[[#This Row],[Unit cost]]*Table311[[#This Row],[FX]])+Table210[[#This Row],[Unit cost]]</f>
        <v>0</v>
      </c>
      <c r="M235" s="44">
        <f>I235*Table2[[#This Row],[Unit cost FX]]</f>
        <v>0</v>
      </c>
      <c r="N235" s="47"/>
      <c r="O235" s="37">
        <f>Table2[[#This Row],[Unit cost FX]]*N235+Table2[[#This Row],[Unit cost FX]]</f>
        <v>0</v>
      </c>
      <c r="P235" s="44">
        <f>'H.W&amp;S.W&amp;Services'!$O235*'H.W&amp;S.W&amp;Services'!$I235</f>
        <v>0</v>
      </c>
    </row>
    <row r="236" spans="1:16" ht="15" customHeight="1" x14ac:dyDescent="0.2">
      <c r="A236" s="40"/>
      <c r="B236" s="31"/>
      <c r="C236" s="41"/>
      <c r="D236" s="49"/>
      <c r="E236" s="49"/>
      <c r="F236" s="49"/>
      <c r="G236" s="50"/>
      <c r="H236" s="41"/>
      <c r="I236" s="42"/>
      <c r="J236" s="46"/>
      <c r="K236" s="47"/>
      <c r="L236" s="34">
        <f>(Table210[[#This Row],[Unit cost]]*Table311[[#This Row],[FX]])+Table210[[#This Row],[Unit cost]]</f>
        <v>0</v>
      </c>
      <c r="M236" s="44">
        <f>I236*Table2[[#This Row],[Unit cost FX]]</f>
        <v>0</v>
      </c>
      <c r="N236" s="47"/>
      <c r="O236" s="37">
        <f>Table2[[#This Row],[Unit cost FX]]*N236+Table2[[#This Row],[Unit cost FX]]</f>
        <v>0</v>
      </c>
      <c r="P236" s="44">
        <f>'H.W&amp;S.W&amp;Services'!$O236*'H.W&amp;S.W&amp;Services'!$I236</f>
        <v>0</v>
      </c>
    </row>
    <row r="237" spans="1:16" ht="15" customHeight="1" x14ac:dyDescent="0.2">
      <c r="A237" s="40"/>
      <c r="B237" s="31"/>
      <c r="C237" s="41"/>
      <c r="D237" s="49"/>
      <c r="E237" s="49"/>
      <c r="F237" s="49"/>
      <c r="G237" s="50"/>
      <c r="H237" s="41"/>
      <c r="I237" s="42"/>
      <c r="J237" s="46"/>
      <c r="K237" s="47"/>
      <c r="L237" s="34">
        <f>(Table210[[#This Row],[Unit cost]]*Table311[[#This Row],[FX]])+Table210[[#This Row],[Unit cost]]</f>
        <v>0</v>
      </c>
      <c r="M237" s="44">
        <f>I237*Table2[[#This Row],[Unit cost FX]]</f>
        <v>0</v>
      </c>
      <c r="N237" s="47"/>
      <c r="O237" s="37">
        <f>Table2[[#This Row],[Unit cost FX]]*N237+Table2[[#This Row],[Unit cost FX]]</f>
        <v>0</v>
      </c>
      <c r="P237" s="44">
        <f>'H.W&amp;S.W&amp;Services'!$O237*'H.W&amp;S.W&amp;Services'!$I237</f>
        <v>0</v>
      </c>
    </row>
    <row r="238" spans="1:16" ht="15" customHeight="1" x14ac:dyDescent="0.2">
      <c r="A238" s="40"/>
      <c r="B238" s="31"/>
      <c r="C238" s="41"/>
      <c r="D238" s="49"/>
      <c r="E238" s="49"/>
      <c r="F238" s="49"/>
      <c r="G238" s="50"/>
      <c r="H238" s="41"/>
      <c r="I238" s="42"/>
      <c r="J238" s="46"/>
      <c r="K238" s="47"/>
      <c r="L238" s="34">
        <f>(Table210[[#This Row],[Unit cost]]*Table311[[#This Row],[FX]])+Table210[[#This Row],[Unit cost]]</f>
        <v>0</v>
      </c>
      <c r="M238" s="44">
        <f>I238*Table2[[#This Row],[Unit cost FX]]</f>
        <v>0</v>
      </c>
      <c r="N238" s="47"/>
      <c r="O238" s="37">
        <f>Table2[[#This Row],[Unit cost FX]]*N238+Table2[[#This Row],[Unit cost FX]]</f>
        <v>0</v>
      </c>
      <c r="P238" s="44">
        <f>'H.W&amp;S.W&amp;Services'!$O238*'H.W&amp;S.W&amp;Services'!$I238</f>
        <v>0</v>
      </c>
    </row>
    <row r="239" spans="1:16" ht="15" customHeight="1" x14ac:dyDescent="0.2">
      <c r="A239" s="40"/>
      <c r="B239" s="31"/>
      <c r="C239" s="41"/>
      <c r="D239" s="49"/>
      <c r="E239" s="49"/>
      <c r="F239" s="49"/>
      <c r="G239" s="50"/>
      <c r="H239" s="41"/>
      <c r="I239" s="42"/>
      <c r="J239" s="46"/>
      <c r="K239" s="47"/>
      <c r="L239" s="34">
        <f>(Table210[[#This Row],[Unit cost]]*Table311[[#This Row],[FX]])+Table210[[#This Row],[Unit cost]]</f>
        <v>0</v>
      </c>
      <c r="M239" s="44">
        <f>I239*Table2[[#This Row],[Unit cost FX]]</f>
        <v>0</v>
      </c>
      <c r="N239" s="47"/>
      <c r="O239" s="37">
        <f>Table2[[#This Row],[Unit cost FX]]*N239+Table2[[#This Row],[Unit cost FX]]</f>
        <v>0</v>
      </c>
      <c r="P239" s="44">
        <f>'H.W&amp;S.W&amp;Services'!$O239*'H.W&amp;S.W&amp;Services'!$I239</f>
        <v>0</v>
      </c>
    </row>
    <row r="240" spans="1:16" ht="15" customHeight="1" x14ac:dyDescent="0.2">
      <c r="A240" s="40"/>
      <c r="B240" s="31"/>
      <c r="C240" s="41"/>
      <c r="D240" s="49"/>
      <c r="E240" s="49"/>
      <c r="F240" s="49"/>
      <c r="G240" s="50"/>
      <c r="H240" s="41"/>
      <c r="I240" s="42"/>
      <c r="J240" s="46"/>
      <c r="K240" s="47"/>
      <c r="L240" s="34">
        <f>(Table210[[#This Row],[Unit cost]]*Table311[[#This Row],[FX]])+Table210[[#This Row],[Unit cost]]</f>
        <v>0</v>
      </c>
      <c r="M240" s="44">
        <f>I240*Table2[[#This Row],[Unit cost FX]]</f>
        <v>0</v>
      </c>
      <c r="N240" s="47"/>
      <c r="O240" s="37">
        <f>Table2[[#This Row],[Unit cost FX]]*N240+Table2[[#This Row],[Unit cost FX]]</f>
        <v>0</v>
      </c>
      <c r="P240" s="44">
        <f>'H.W&amp;S.W&amp;Services'!$O240*'H.W&amp;S.W&amp;Services'!$I240</f>
        <v>0</v>
      </c>
    </row>
    <row r="241" spans="1:16" ht="15" customHeight="1" x14ac:dyDescent="0.2">
      <c r="A241" s="40"/>
      <c r="B241" s="31"/>
      <c r="C241" s="41"/>
      <c r="D241" s="49"/>
      <c r="E241" s="49"/>
      <c r="F241" s="49"/>
      <c r="G241" s="50"/>
      <c r="H241" s="41"/>
      <c r="I241" s="42"/>
      <c r="J241" s="46"/>
      <c r="K241" s="47"/>
      <c r="L241" s="34">
        <f>(Table210[[#This Row],[Unit cost]]*Table311[[#This Row],[FX]])+Table210[[#This Row],[Unit cost]]</f>
        <v>0</v>
      </c>
      <c r="M241" s="44">
        <f>I241*Table2[[#This Row],[Unit cost FX]]</f>
        <v>0</v>
      </c>
      <c r="N241" s="47"/>
      <c r="O241" s="37">
        <f>Table2[[#This Row],[Unit cost FX]]*N241+Table2[[#This Row],[Unit cost FX]]</f>
        <v>0</v>
      </c>
      <c r="P241" s="44">
        <f>'H.W&amp;S.W&amp;Services'!$O241*'H.W&amp;S.W&amp;Services'!$I241</f>
        <v>0</v>
      </c>
    </row>
    <row r="242" spans="1:16" ht="15" customHeight="1" x14ac:dyDescent="0.2">
      <c r="A242" s="40"/>
      <c r="B242" s="31"/>
      <c r="C242" s="41"/>
      <c r="D242" s="49"/>
      <c r="E242" s="49"/>
      <c r="F242" s="49"/>
      <c r="G242" s="50"/>
      <c r="H242" s="41"/>
      <c r="I242" s="42"/>
      <c r="J242" s="46"/>
      <c r="K242" s="47"/>
      <c r="L242" s="34">
        <f>(Table210[[#This Row],[Unit cost]]*Table311[[#This Row],[FX]])+Table210[[#This Row],[Unit cost]]</f>
        <v>0</v>
      </c>
      <c r="M242" s="44">
        <f>I242*Table2[[#This Row],[Unit cost FX]]</f>
        <v>0</v>
      </c>
      <c r="N242" s="47"/>
      <c r="O242" s="37">
        <f>Table2[[#This Row],[Unit cost FX]]*N242+Table2[[#This Row],[Unit cost FX]]</f>
        <v>0</v>
      </c>
      <c r="P242" s="44">
        <f>'H.W&amp;S.W&amp;Services'!$O242*'H.W&amp;S.W&amp;Services'!$I242</f>
        <v>0</v>
      </c>
    </row>
    <row r="243" spans="1:16" ht="15" customHeight="1" x14ac:dyDescent="0.2">
      <c r="A243" s="40"/>
      <c r="B243" s="31"/>
      <c r="C243" s="41"/>
      <c r="D243" s="49"/>
      <c r="E243" s="49"/>
      <c r="F243" s="49"/>
      <c r="G243" s="50"/>
      <c r="H243" s="41"/>
      <c r="I243" s="42"/>
      <c r="J243" s="46"/>
      <c r="K243" s="47"/>
      <c r="L243" s="34">
        <f>(Table210[[#This Row],[Unit cost]]*Table311[[#This Row],[FX]])+Table210[[#This Row],[Unit cost]]</f>
        <v>0</v>
      </c>
      <c r="M243" s="44">
        <f>I243*Table2[[#This Row],[Unit cost FX]]</f>
        <v>0</v>
      </c>
      <c r="N243" s="47"/>
      <c r="O243" s="37">
        <f>Table2[[#This Row],[Unit cost FX]]*N243+Table2[[#This Row],[Unit cost FX]]</f>
        <v>0</v>
      </c>
      <c r="P243" s="44">
        <f>'H.W&amp;S.W&amp;Services'!$O243*'H.W&amp;S.W&amp;Services'!$I243</f>
        <v>0</v>
      </c>
    </row>
    <row r="244" spans="1:16" ht="15" customHeight="1" x14ac:dyDescent="0.2">
      <c r="A244" s="40"/>
      <c r="B244" s="31"/>
      <c r="C244" s="41"/>
      <c r="D244" s="49"/>
      <c r="E244" s="49"/>
      <c r="F244" s="49"/>
      <c r="G244" s="50"/>
      <c r="H244" s="41"/>
      <c r="I244" s="42"/>
      <c r="J244" s="46"/>
      <c r="K244" s="47"/>
      <c r="L244" s="34">
        <f>(Table210[[#This Row],[Unit cost]]*Table311[[#This Row],[FX]])+Table210[[#This Row],[Unit cost]]</f>
        <v>0</v>
      </c>
      <c r="M244" s="44">
        <f>I244*Table2[[#This Row],[Unit cost FX]]</f>
        <v>0</v>
      </c>
      <c r="N244" s="47"/>
      <c r="O244" s="37">
        <f>Table2[[#This Row],[Unit cost FX]]*N244+Table2[[#This Row],[Unit cost FX]]</f>
        <v>0</v>
      </c>
      <c r="P244" s="44">
        <f>'H.W&amp;S.W&amp;Services'!$O244*'H.W&amp;S.W&amp;Services'!$I244</f>
        <v>0</v>
      </c>
    </row>
    <row r="245" spans="1:16" ht="15" customHeight="1" x14ac:dyDescent="0.2">
      <c r="A245" s="40"/>
      <c r="B245" s="31"/>
      <c r="C245" s="41"/>
      <c r="D245" s="49"/>
      <c r="E245" s="49"/>
      <c r="F245" s="49"/>
      <c r="G245" s="50"/>
      <c r="H245" s="41"/>
      <c r="I245" s="42"/>
      <c r="J245" s="46"/>
      <c r="K245" s="47"/>
      <c r="L245" s="34">
        <f>(Table210[[#This Row],[Unit cost]]*Table311[[#This Row],[FX]])+Table210[[#This Row],[Unit cost]]</f>
        <v>0</v>
      </c>
      <c r="M245" s="44">
        <f>I245*Table2[[#This Row],[Unit cost FX]]</f>
        <v>0</v>
      </c>
      <c r="N245" s="47"/>
      <c r="O245" s="37">
        <f>Table2[[#This Row],[Unit cost FX]]*N245+Table2[[#This Row],[Unit cost FX]]</f>
        <v>0</v>
      </c>
      <c r="P245" s="44">
        <f>'H.W&amp;S.W&amp;Services'!$O245*'H.W&amp;S.W&amp;Services'!$I245</f>
        <v>0</v>
      </c>
    </row>
    <row r="246" spans="1:16" ht="15" customHeight="1" x14ac:dyDescent="0.2">
      <c r="A246" s="40"/>
      <c r="B246" s="31"/>
      <c r="C246" s="41"/>
      <c r="D246" s="49"/>
      <c r="E246" s="49"/>
      <c r="F246" s="49"/>
      <c r="G246" s="50"/>
      <c r="H246" s="41"/>
      <c r="I246" s="42"/>
      <c r="J246" s="46"/>
      <c r="K246" s="47"/>
      <c r="L246" s="34">
        <f>(Table210[[#This Row],[Unit cost]]*Table311[[#This Row],[FX]])+Table210[[#This Row],[Unit cost]]</f>
        <v>0</v>
      </c>
      <c r="M246" s="44">
        <f>I246*Table2[[#This Row],[Unit cost FX]]</f>
        <v>0</v>
      </c>
      <c r="N246" s="47"/>
      <c r="O246" s="37">
        <f>Table2[[#This Row],[Unit cost FX]]*N246+Table2[[#This Row],[Unit cost FX]]</f>
        <v>0</v>
      </c>
      <c r="P246" s="44">
        <f>'H.W&amp;S.W&amp;Services'!$O246*'H.W&amp;S.W&amp;Services'!$I246</f>
        <v>0</v>
      </c>
    </row>
    <row r="247" spans="1:16" ht="15" customHeight="1" x14ac:dyDescent="0.2">
      <c r="A247" s="40"/>
      <c r="B247" s="31"/>
      <c r="C247" s="41"/>
      <c r="D247" s="49"/>
      <c r="E247" s="49"/>
      <c r="F247" s="49"/>
      <c r="G247" s="50"/>
      <c r="H247" s="41"/>
      <c r="I247" s="42"/>
      <c r="J247" s="46"/>
      <c r="K247" s="47"/>
      <c r="L247" s="34">
        <f>(Table210[[#This Row],[Unit cost]]*Table311[[#This Row],[FX]])+Table210[[#This Row],[Unit cost]]</f>
        <v>0</v>
      </c>
      <c r="M247" s="44">
        <f>I247*Table2[[#This Row],[Unit cost FX]]</f>
        <v>0</v>
      </c>
      <c r="N247" s="47"/>
      <c r="O247" s="37">
        <f>Table2[[#This Row],[Unit cost FX]]*N247+Table2[[#This Row],[Unit cost FX]]</f>
        <v>0</v>
      </c>
      <c r="P247" s="44">
        <f>'H.W&amp;S.W&amp;Services'!$O247*'H.W&amp;S.W&amp;Services'!$I247</f>
        <v>0</v>
      </c>
    </row>
    <row r="248" spans="1:16" ht="15" customHeight="1" x14ac:dyDescent="0.2">
      <c r="A248" s="40"/>
      <c r="B248" s="31"/>
      <c r="C248" s="41"/>
      <c r="D248" s="49"/>
      <c r="E248" s="49"/>
      <c r="F248" s="49"/>
      <c r="G248" s="50"/>
      <c r="H248" s="41"/>
      <c r="I248" s="42"/>
      <c r="J248" s="46"/>
      <c r="K248" s="47"/>
      <c r="L248" s="34">
        <f>(Table210[[#This Row],[Unit cost]]*Table311[[#This Row],[FX]])+Table210[[#This Row],[Unit cost]]</f>
        <v>0</v>
      </c>
      <c r="M248" s="44">
        <f>I248*Table2[[#This Row],[Unit cost FX]]</f>
        <v>0</v>
      </c>
      <c r="N248" s="47"/>
      <c r="O248" s="37">
        <f>Table2[[#This Row],[Unit cost FX]]*N248+Table2[[#This Row],[Unit cost FX]]</f>
        <v>0</v>
      </c>
      <c r="P248" s="44">
        <f>'H.W&amp;S.W&amp;Services'!$O248*'H.W&amp;S.W&amp;Services'!$I248</f>
        <v>0</v>
      </c>
    </row>
    <row r="249" spans="1:16" ht="15" customHeight="1" x14ac:dyDescent="0.2">
      <c r="A249" s="40"/>
      <c r="B249" s="31"/>
      <c r="C249" s="41"/>
      <c r="D249" s="49"/>
      <c r="E249" s="49"/>
      <c r="F249" s="49"/>
      <c r="G249" s="50"/>
      <c r="H249" s="41"/>
      <c r="I249" s="42"/>
      <c r="J249" s="46"/>
      <c r="K249" s="47"/>
      <c r="L249" s="34">
        <f>(Table210[[#This Row],[Unit cost]]*Table311[[#This Row],[FX]])+Table210[[#This Row],[Unit cost]]</f>
        <v>0</v>
      </c>
      <c r="M249" s="44">
        <f>I249*Table2[[#This Row],[Unit cost FX]]</f>
        <v>0</v>
      </c>
      <c r="N249" s="47"/>
      <c r="O249" s="37">
        <f>Table2[[#This Row],[Unit cost FX]]*N249+Table2[[#This Row],[Unit cost FX]]</f>
        <v>0</v>
      </c>
      <c r="P249" s="44">
        <f>'H.W&amp;S.W&amp;Services'!$O249*'H.W&amp;S.W&amp;Services'!$I249</f>
        <v>0</v>
      </c>
    </row>
    <row r="250" spans="1:16" ht="15" customHeight="1" x14ac:dyDescent="0.2">
      <c r="A250" s="40"/>
      <c r="B250" s="31"/>
      <c r="C250" s="41"/>
      <c r="D250" s="49"/>
      <c r="E250" s="49"/>
      <c r="F250" s="49"/>
      <c r="G250" s="50"/>
      <c r="H250" s="41"/>
      <c r="I250" s="42"/>
      <c r="J250" s="46"/>
      <c r="K250" s="47"/>
      <c r="L250" s="34">
        <f>(Table210[[#This Row],[Unit cost]]*Table311[[#This Row],[FX]])+Table210[[#This Row],[Unit cost]]</f>
        <v>0</v>
      </c>
      <c r="M250" s="44">
        <f>I250*Table2[[#This Row],[Unit cost FX]]</f>
        <v>0</v>
      </c>
      <c r="N250" s="47"/>
      <c r="O250" s="37">
        <f>Table2[[#This Row],[Unit cost FX]]*N250+Table2[[#This Row],[Unit cost FX]]</f>
        <v>0</v>
      </c>
      <c r="P250" s="44">
        <f>'H.W&amp;S.W&amp;Services'!$O250*'H.W&amp;S.W&amp;Services'!$I250</f>
        <v>0</v>
      </c>
    </row>
    <row r="251" spans="1:16" ht="15" customHeight="1" x14ac:dyDescent="0.2">
      <c r="A251" s="40"/>
      <c r="B251" s="31"/>
      <c r="C251" s="41"/>
      <c r="D251" s="49"/>
      <c r="E251" s="49"/>
      <c r="F251" s="49"/>
      <c r="G251" s="50"/>
      <c r="H251" s="41"/>
      <c r="I251" s="42"/>
      <c r="J251" s="46"/>
      <c r="K251" s="47"/>
      <c r="L251" s="34">
        <f>(Table210[[#This Row],[Unit cost]]*Table311[[#This Row],[FX]])+Table210[[#This Row],[Unit cost]]</f>
        <v>0</v>
      </c>
      <c r="M251" s="44">
        <f>I251*Table2[[#This Row],[Unit cost FX]]</f>
        <v>0</v>
      </c>
      <c r="N251" s="47"/>
      <c r="O251" s="37">
        <f>Table2[[#This Row],[Unit cost FX]]*N251+Table2[[#This Row],[Unit cost FX]]</f>
        <v>0</v>
      </c>
      <c r="P251" s="44">
        <f>'H.W&amp;S.W&amp;Services'!$O251*'H.W&amp;S.W&amp;Services'!$I251</f>
        <v>0</v>
      </c>
    </row>
    <row r="252" spans="1:16" ht="15" customHeight="1" x14ac:dyDescent="0.2">
      <c r="A252" s="40"/>
      <c r="B252" s="31"/>
      <c r="C252" s="41"/>
      <c r="D252" s="49"/>
      <c r="E252" s="49"/>
      <c r="F252" s="49"/>
      <c r="G252" s="50"/>
      <c r="H252" s="41"/>
      <c r="I252" s="42"/>
      <c r="J252" s="46"/>
      <c r="K252" s="47"/>
      <c r="L252" s="34">
        <f>(Table210[[#This Row],[Unit cost]]*Table311[[#This Row],[FX]])+Table210[[#This Row],[Unit cost]]</f>
        <v>0</v>
      </c>
      <c r="M252" s="44">
        <f>I252*Table2[[#This Row],[Unit cost FX]]</f>
        <v>0</v>
      </c>
      <c r="N252" s="47"/>
      <c r="O252" s="37">
        <f>Table2[[#This Row],[Unit cost FX]]*N252+Table2[[#This Row],[Unit cost FX]]</f>
        <v>0</v>
      </c>
      <c r="P252" s="44">
        <f>'H.W&amp;S.W&amp;Services'!$O252*'H.W&amp;S.W&amp;Services'!$I252</f>
        <v>0</v>
      </c>
    </row>
    <row r="253" spans="1:16" ht="15" customHeight="1" x14ac:dyDescent="0.2">
      <c r="A253" s="40"/>
      <c r="B253" s="31"/>
      <c r="C253" s="41"/>
      <c r="D253" s="49"/>
      <c r="E253" s="49"/>
      <c r="F253" s="49"/>
      <c r="G253" s="50"/>
      <c r="H253" s="41"/>
      <c r="I253" s="42"/>
      <c r="J253" s="46"/>
      <c r="K253" s="47"/>
      <c r="L253" s="34">
        <f>(Table210[[#This Row],[Unit cost]]*Table311[[#This Row],[FX]])+Table210[[#This Row],[Unit cost]]</f>
        <v>0</v>
      </c>
      <c r="M253" s="44">
        <f>I253*Table2[[#This Row],[Unit cost FX]]</f>
        <v>0</v>
      </c>
      <c r="N253" s="47"/>
      <c r="O253" s="37">
        <f>Table2[[#This Row],[Unit cost FX]]*N253+Table2[[#This Row],[Unit cost FX]]</f>
        <v>0</v>
      </c>
      <c r="P253" s="44">
        <f>'H.W&amp;S.W&amp;Services'!$O253*'H.W&amp;S.W&amp;Services'!$I253</f>
        <v>0</v>
      </c>
    </row>
    <row r="254" spans="1:16" ht="15" customHeight="1" x14ac:dyDescent="0.2">
      <c r="A254" s="40"/>
      <c r="B254" s="31"/>
      <c r="C254" s="41"/>
      <c r="D254" s="49"/>
      <c r="E254" s="49"/>
      <c r="F254" s="49"/>
      <c r="G254" s="50"/>
      <c r="H254" s="41"/>
      <c r="I254" s="42"/>
      <c r="J254" s="46"/>
      <c r="K254" s="47"/>
      <c r="L254" s="34">
        <f>(Table210[[#This Row],[Unit cost]]*Table311[[#This Row],[FX]])+Table210[[#This Row],[Unit cost]]</f>
        <v>0</v>
      </c>
      <c r="M254" s="44">
        <f>I254*Table2[[#This Row],[Unit cost FX]]</f>
        <v>0</v>
      </c>
      <c r="N254" s="47"/>
      <c r="O254" s="37">
        <f>Table2[[#This Row],[Unit cost FX]]*N254+Table2[[#This Row],[Unit cost FX]]</f>
        <v>0</v>
      </c>
      <c r="P254" s="44">
        <f>'H.W&amp;S.W&amp;Services'!$O254*'H.W&amp;S.W&amp;Services'!$I254</f>
        <v>0</v>
      </c>
    </row>
    <row r="255" spans="1:16" ht="15" customHeight="1" x14ac:dyDescent="0.2">
      <c r="A255" s="40"/>
      <c r="B255" s="31"/>
      <c r="C255" s="41"/>
      <c r="D255" s="49"/>
      <c r="E255" s="49"/>
      <c r="F255" s="49"/>
      <c r="G255" s="50"/>
      <c r="H255" s="41"/>
      <c r="I255" s="42"/>
      <c r="J255" s="46"/>
      <c r="K255" s="47"/>
      <c r="L255" s="34">
        <f>(Table210[[#This Row],[Unit cost]]*Table311[[#This Row],[FX]])+Table210[[#This Row],[Unit cost]]</f>
        <v>0</v>
      </c>
      <c r="M255" s="44">
        <f>I255*Table2[[#This Row],[Unit cost FX]]</f>
        <v>0</v>
      </c>
      <c r="N255" s="47"/>
      <c r="O255" s="37">
        <f>Table2[[#This Row],[Unit cost FX]]*N255+Table2[[#This Row],[Unit cost FX]]</f>
        <v>0</v>
      </c>
      <c r="P255" s="44">
        <f>'H.W&amp;S.W&amp;Services'!$O255*'H.W&amp;S.W&amp;Services'!$I255</f>
        <v>0</v>
      </c>
    </row>
    <row r="256" spans="1:16" ht="15" customHeight="1" x14ac:dyDescent="0.2">
      <c r="A256" s="40"/>
      <c r="B256" s="31"/>
      <c r="C256" s="41"/>
      <c r="D256" s="49"/>
      <c r="E256" s="49"/>
      <c r="F256" s="49"/>
      <c r="G256" s="50"/>
      <c r="H256" s="41"/>
      <c r="I256" s="42"/>
      <c r="J256" s="46"/>
      <c r="K256" s="47"/>
      <c r="L256" s="34">
        <f>(Table210[[#This Row],[Unit cost]]*Table311[[#This Row],[FX]])+Table210[[#This Row],[Unit cost]]</f>
        <v>0</v>
      </c>
      <c r="M256" s="44">
        <f>I256*Table2[[#This Row],[Unit cost FX]]</f>
        <v>0</v>
      </c>
      <c r="N256" s="47"/>
      <c r="O256" s="37">
        <f>Table2[[#This Row],[Unit cost FX]]*N256+Table2[[#This Row],[Unit cost FX]]</f>
        <v>0</v>
      </c>
      <c r="P256" s="44">
        <f>'H.W&amp;S.W&amp;Services'!$O256*'H.W&amp;S.W&amp;Services'!$I256</f>
        <v>0</v>
      </c>
    </row>
    <row r="257" spans="1:16" ht="15" customHeight="1" x14ac:dyDescent="0.2">
      <c r="A257" s="40"/>
      <c r="B257" s="31"/>
      <c r="C257" s="41"/>
      <c r="D257" s="49"/>
      <c r="E257" s="49"/>
      <c r="F257" s="49"/>
      <c r="G257" s="50"/>
      <c r="H257" s="41"/>
      <c r="I257" s="42"/>
      <c r="J257" s="46"/>
      <c r="K257" s="47"/>
      <c r="L257" s="34">
        <f>(Table210[[#This Row],[Unit cost]]*Table311[[#This Row],[FX]])+Table210[[#This Row],[Unit cost]]</f>
        <v>0</v>
      </c>
      <c r="M257" s="44">
        <f>I257*Table2[[#This Row],[Unit cost FX]]</f>
        <v>0</v>
      </c>
      <c r="N257" s="47"/>
      <c r="O257" s="37">
        <f>Table2[[#This Row],[Unit cost FX]]*N257+Table2[[#This Row],[Unit cost FX]]</f>
        <v>0</v>
      </c>
      <c r="P257" s="44">
        <f>'H.W&amp;S.W&amp;Services'!$O257*'H.W&amp;S.W&amp;Services'!$I257</f>
        <v>0</v>
      </c>
    </row>
    <row r="258" spans="1:16" ht="15" customHeight="1" x14ac:dyDescent="0.2">
      <c r="A258" s="40"/>
      <c r="B258" s="31"/>
      <c r="C258" s="41"/>
      <c r="D258" s="49"/>
      <c r="E258" s="49"/>
      <c r="F258" s="49"/>
      <c r="G258" s="50"/>
      <c r="H258" s="41"/>
      <c r="I258" s="42"/>
      <c r="J258" s="46"/>
      <c r="K258" s="47"/>
      <c r="L258" s="34">
        <f>(Table210[[#This Row],[Unit cost]]*Table311[[#This Row],[FX]])+Table210[[#This Row],[Unit cost]]</f>
        <v>0</v>
      </c>
      <c r="M258" s="44">
        <f>I258*Table2[[#This Row],[Unit cost FX]]</f>
        <v>0</v>
      </c>
      <c r="N258" s="47"/>
      <c r="O258" s="37">
        <f>Table2[[#This Row],[Unit cost FX]]*N258+Table2[[#This Row],[Unit cost FX]]</f>
        <v>0</v>
      </c>
      <c r="P258" s="44">
        <f>'H.W&amp;S.W&amp;Services'!$O258*'H.W&amp;S.W&amp;Services'!$I258</f>
        <v>0</v>
      </c>
    </row>
    <row r="259" spans="1:16" ht="15" customHeight="1" x14ac:dyDescent="0.2">
      <c r="A259" s="40"/>
      <c r="B259" s="31"/>
      <c r="C259" s="41"/>
      <c r="D259" s="49"/>
      <c r="E259" s="49"/>
      <c r="F259" s="49"/>
      <c r="G259" s="50"/>
      <c r="H259" s="41"/>
      <c r="I259" s="42"/>
      <c r="J259" s="46"/>
      <c r="K259" s="47"/>
      <c r="L259" s="34">
        <f>(Table210[[#This Row],[Unit cost]]*Table311[[#This Row],[FX]])+Table210[[#This Row],[Unit cost]]</f>
        <v>0</v>
      </c>
      <c r="M259" s="44">
        <f>I259*Table2[[#This Row],[Unit cost FX]]</f>
        <v>0</v>
      </c>
      <c r="N259" s="47"/>
      <c r="O259" s="37">
        <f>Table2[[#This Row],[Unit cost FX]]*N259+Table2[[#This Row],[Unit cost FX]]</f>
        <v>0</v>
      </c>
      <c r="P259" s="44">
        <f>'H.W&amp;S.W&amp;Services'!$O259*'H.W&amp;S.W&amp;Services'!$I259</f>
        <v>0</v>
      </c>
    </row>
    <row r="260" spans="1:16" ht="15" customHeight="1" x14ac:dyDescent="0.2">
      <c r="A260" s="40"/>
      <c r="B260" s="31"/>
      <c r="C260" s="41"/>
      <c r="D260" s="49"/>
      <c r="E260" s="49"/>
      <c r="F260" s="49"/>
      <c r="G260" s="50"/>
      <c r="H260" s="41"/>
      <c r="I260" s="42"/>
      <c r="J260" s="46"/>
      <c r="K260" s="47"/>
      <c r="L260" s="34">
        <f>(Table210[[#This Row],[Unit cost]]*Table311[[#This Row],[FX]])+Table210[[#This Row],[Unit cost]]</f>
        <v>0</v>
      </c>
      <c r="M260" s="44">
        <f>I260*Table2[[#This Row],[Unit cost FX]]</f>
        <v>0</v>
      </c>
      <c r="N260" s="47"/>
      <c r="O260" s="37">
        <f>Table2[[#This Row],[Unit cost FX]]*N260+Table2[[#This Row],[Unit cost FX]]</f>
        <v>0</v>
      </c>
      <c r="P260" s="44">
        <f>'H.W&amp;S.W&amp;Services'!$O260*'H.W&amp;S.W&amp;Services'!$I260</f>
        <v>0</v>
      </c>
    </row>
    <row r="261" spans="1:16" ht="15" customHeight="1" x14ac:dyDescent="0.2">
      <c r="A261" s="40"/>
      <c r="B261" s="31"/>
      <c r="C261" s="41"/>
      <c r="D261" s="49"/>
      <c r="E261" s="49"/>
      <c r="F261" s="49"/>
      <c r="G261" s="50"/>
      <c r="H261" s="41"/>
      <c r="I261" s="42"/>
      <c r="J261" s="46"/>
      <c r="K261" s="47"/>
      <c r="L261" s="34">
        <f>(Table210[[#This Row],[Unit cost]]*Table311[[#This Row],[FX]])+Table210[[#This Row],[Unit cost]]</f>
        <v>0</v>
      </c>
      <c r="M261" s="44">
        <f>I261*Table2[[#This Row],[Unit cost FX]]</f>
        <v>0</v>
      </c>
      <c r="N261" s="47"/>
      <c r="O261" s="37">
        <f>Table2[[#This Row],[Unit cost FX]]*N261+Table2[[#This Row],[Unit cost FX]]</f>
        <v>0</v>
      </c>
      <c r="P261" s="44">
        <f>'H.W&amp;S.W&amp;Services'!$O261*'H.W&amp;S.W&amp;Services'!$I261</f>
        <v>0</v>
      </c>
    </row>
    <row r="262" spans="1:16" ht="15" customHeight="1" x14ac:dyDescent="0.2">
      <c r="A262" s="40"/>
      <c r="B262" s="31"/>
      <c r="C262" s="41"/>
      <c r="D262" s="49"/>
      <c r="E262" s="49"/>
      <c r="F262" s="49"/>
      <c r="G262" s="50"/>
      <c r="H262" s="41"/>
      <c r="I262" s="42"/>
      <c r="J262" s="46"/>
      <c r="K262" s="47"/>
      <c r="L262" s="34">
        <f>(Table210[[#This Row],[Unit cost]]*Table311[[#This Row],[FX]])+Table210[[#This Row],[Unit cost]]</f>
        <v>0</v>
      </c>
      <c r="M262" s="44">
        <f>I262*Table2[[#This Row],[Unit cost FX]]</f>
        <v>0</v>
      </c>
      <c r="N262" s="47"/>
      <c r="O262" s="37">
        <f>Table2[[#This Row],[Unit cost FX]]*N262+Table2[[#This Row],[Unit cost FX]]</f>
        <v>0</v>
      </c>
      <c r="P262" s="44">
        <f>'H.W&amp;S.W&amp;Services'!$O262*'H.W&amp;S.W&amp;Services'!$I262</f>
        <v>0</v>
      </c>
    </row>
    <row r="263" spans="1:16" ht="15" customHeight="1" x14ac:dyDescent="0.2">
      <c r="A263" s="40"/>
      <c r="B263" s="31"/>
      <c r="C263" s="41"/>
      <c r="D263" s="49"/>
      <c r="E263" s="49"/>
      <c r="F263" s="49"/>
      <c r="G263" s="50"/>
      <c r="H263" s="41"/>
      <c r="I263" s="42"/>
      <c r="J263" s="46"/>
      <c r="K263" s="47"/>
      <c r="L263" s="34">
        <f>(Table210[[#This Row],[Unit cost]]*Table311[[#This Row],[FX]])+Table210[[#This Row],[Unit cost]]</f>
        <v>0</v>
      </c>
      <c r="M263" s="44">
        <f>I263*Table2[[#This Row],[Unit cost FX]]</f>
        <v>0</v>
      </c>
      <c r="N263" s="47"/>
      <c r="O263" s="37">
        <f>Table2[[#This Row],[Unit cost FX]]*N263+Table2[[#This Row],[Unit cost FX]]</f>
        <v>0</v>
      </c>
      <c r="P263" s="44">
        <f>'H.W&amp;S.W&amp;Services'!$O263*'H.W&amp;S.W&amp;Services'!$I263</f>
        <v>0</v>
      </c>
    </row>
    <row r="264" spans="1:16" ht="15" customHeight="1" x14ac:dyDescent="0.2">
      <c r="A264" s="40"/>
      <c r="B264" s="31"/>
      <c r="C264" s="41"/>
      <c r="D264" s="49"/>
      <c r="E264" s="49"/>
      <c r="F264" s="49"/>
      <c r="G264" s="50"/>
      <c r="H264" s="41"/>
      <c r="I264" s="42"/>
      <c r="J264" s="46"/>
      <c r="K264" s="47"/>
      <c r="L264" s="34">
        <f>(Table210[[#This Row],[Unit cost]]*Table311[[#This Row],[FX]])+Table210[[#This Row],[Unit cost]]</f>
        <v>0</v>
      </c>
      <c r="M264" s="44">
        <f>I264*Table2[[#This Row],[Unit cost FX]]</f>
        <v>0</v>
      </c>
      <c r="N264" s="47"/>
      <c r="O264" s="37">
        <f>Table2[[#This Row],[Unit cost FX]]*N264+Table2[[#This Row],[Unit cost FX]]</f>
        <v>0</v>
      </c>
      <c r="P264" s="44">
        <f>'H.W&amp;S.W&amp;Services'!$O264*'H.W&amp;S.W&amp;Services'!$I264</f>
        <v>0</v>
      </c>
    </row>
    <row r="265" spans="1:16" ht="15" customHeight="1" x14ac:dyDescent="0.2">
      <c r="A265" s="40"/>
      <c r="B265" s="31"/>
      <c r="C265" s="41"/>
      <c r="D265" s="49"/>
      <c r="E265" s="49"/>
      <c r="F265" s="49"/>
      <c r="G265" s="50"/>
      <c r="H265" s="41"/>
      <c r="I265" s="42"/>
      <c r="J265" s="46"/>
      <c r="K265" s="47"/>
      <c r="L265" s="34">
        <f>(Table210[[#This Row],[Unit cost]]*Table311[[#This Row],[FX]])+Table210[[#This Row],[Unit cost]]</f>
        <v>0</v>
      </c>
      <c r="M265" s="44">
        <f>I265*Table2[[#This Row],[Unit cost FX]]</f>
        <v>0</v>
      </c>
      <c r="N265" s="47"/>
      <c r="O265" s="37">
        <f>Table2[[#This Row],[Unit cost FX]]*N265+Table2[[#This Row],[Unit cost FX]]</f>
        <v>0</v>
      </c>
      <c r="P265" s="44">
        <f>'H.W&amp;S.W&amp;Services'!$O265*'H.W&amp;S.W&amp;Services'!$I265</f>
        <v>0</v>
      </c>
    </row>
    <row r="266" spans="1:16" ht="15" customHeight="1" x14ac:dyDescent="0.2">
      <c r="A266" s="40"/>
      <c r="B266" s="31"/>
      <c r="C266" s="41"/>
      <c r="D266" s="49"/>
      <c r="E266" s="49"/>
      <c r="F266" s="49"/>
      <c r="G266" s="50"/>
      <c r="H266" s="41"/>
      <c r="I266" s="42"/>
      <c r="J266" s="46"/>
      <c r="K266" s="47"/>
      <c r="L266" s="34">
        <f>(Table210[[#This Row],[Unit cost]]*Table311[[#This Row],[FX]])+Table210[[#This Row],[Unit cost]]</f>
        <v>0</v>
      </c>
      <c r="M266" s="44">
        <f>I266*Table2[[#This Row],[Unit cost FX]]</f>
        <v>0</v>
      </c>
      <c r="N266" s="47"/>
      <c r="O266" s="37">
        <f>Table2[[#This Row],[Unit cost FX]]*N266+Table2[[#This Row],[Unit cost FX]]</f>
        <v>0</v>
      </c>
      <c r="P266" s="44">
        <f>'H.W&amp;S.W&amp;Services'!$O266*'H.W&amp;S.W&amp;Services'!$I266</f>
        <v>0</v>
      </c>
    </row>
    <row r="267" spans="1:16" ht="15" customHeight="1" x14ac:dyDescent="0.2">
      <c r="A267" s="40"/>
      <c r="B267" s="31"/>
      <c r="C267" s="41"/>
      <c r="D267" s="49"/>
      <c r="E267" s="49"/>
      <c r="F267" s="49"/>
      <c r="G267" s="50"/>
      <c r="H267" s="41"/>
      <c r="I267" s="42"/>
      <c r="J267" s="46"/>
      <c r="K267" s="47"/>
      <c r="L267" s="34">
        <f>(Table210[[#This Row],[Unit cost]]*Table311[[#This Row],[FX]])+Table210[[#This Row],[Unit cost]]</f>
        <v>0</v>
      </c>
      <c r="M267" s="44">
        <f>I267*Table2[[#This Row],[Unit cost FX]]</f>
        <v>0</v>
      </c>
      <c r="N267" s="47"/>
      <c r="O267" s="37">
        <f>Table2[[#This Row],[Unit cost FX]]*N267+Table2[[#This Row],[Unit cost FX]]</f>
        <v>0</v>
      </c>
      <c r="P267" s="44">
        <f>'H.W&amp;S.W&amp;Services'!$O267*'H.W&amp;S.W&amp;Services'!$I267</f>
        <v>0</v>
      </c>
    </row>
    <row r="268" spans="1:16" ht="15" customHeight="1" x14ac:dyDescent="0.2">
      <c r="A268" s="40"/>
      <c r="B268" s="31"/>
      <c r="C268" s="41"/>
      <c r="D268" s="49"/>
      <c r="E268" s="49"/>
      <c r="F268" s="49"/>
      <c r="G268" s="50"/>
      <c r="H268" s="41"/>
      <c r="I268" s="42"/>
      <c r="J268" s="46"/>
      <c r="K268" s="47"/>
      <c r="L268" s="34">
        <f>(Table210[[#This Row],[Unit cost]]*Table311[[#This Row],[FX]])+Table210[[#This Row],[Unit cost]]</f>
        <v>0</v>
      </c>
      <c r="M268" s="44">
        <f>I268*Table2[[#This Row],[Unit cost FX]]</f>
        <v>0</v>
      </c>
      <c r="N268" s="47"/>
      <c r="O268" s="37">
        <f>Table2[[#This Row],[Unit cost FX]]*N268+Table2[[#This Row],[Unit cost FX]]</f>
        <v>0</v>
      </c>
      <c r="P268" s="44">
        <f>'H.W&amp;S.W&amp;Services'!$O268*'H.W&amp;S.W&amp;Services'!$I268</f>
        <v>0</v>
      </c>
    </row>
    <row r="269" spans="1:16" ht="15" customHeight="1" x14ac:dyDescent="0.2">
      <c r="A269" s="40"/>
      <c r="B269" s="31"/>
      <c r="C269" s="41"/>
      <c r="D269" s="49"/>
      <c r="E269" s="49"/>
      <c r="F269" s="49"/>
      <c r="G269" s="50"/>
      <c r="H269" s="41"/>
      <c r="I269" s="42"/>
      <c r="J269" s="46"/>
      <c r="K269" s="47"/>
      <c r="L269" s="34">
        <f>(Table210[[#This Row],[Unit cost]]*Table311[[#This Row],[FX]])+Table210[[#This Row],[Unit cost]]</f>
        <v>0</v>
      </c>
      <c r="M269" s="44">
        <f>I269*Table2[[#This Row],[Unit cost FX]]</f>
        <v>0</v>
      </c>
      <c r="N269" s="47"/>
      <c r="O269" s="37">
        <f>Table2[[#This Row],[Unit cost FX]]*N269+Table2[[#This Row],[Unit cost FX]]</f>
        <v>0</v>
      </c>
      <c r="P269" s="44">
        <f>'H.W&amp;S.W&amp;Services'!$O269*'H.W&amp;S.W&amp;Services'!$I269</f>
        <v>0</v>
      </c>
    </row>
    <row r="270" spans="1:16" ht="15" customHeight="1" x14ac:dyDescent="0.2">
      <c r="A270" s="40"/>
      <c r="B270" s="31"/>
      <c r="C270" s="41"/>
      <c r="D270" s="49"/>
      <c r="E270" s="49"/>
      <c r="F270" s="49"/>
      <c r="G270" s="50"/>
      <c r="H270" s="41"/>
      <c r="I270" s="42"/>
      <c r="J270" s="46"/>
      <c r="K270" s="47"/>
      <c r="L270" s="34">
        <f>(Table210[[#This Row],[Unit cost]]*Table311[[#This Row],[FX]])+Table210[[#This Row],[Unit cost]]</f>
        <v>0</v>
      </c>
      <c r="M270" s="44">
        <f>I270*Table2[[#This Row],[Unit cost FX]]</f>
        <v>0</v>
      </c>
      <c r="N270" s="47"/>
      <c r="O270" s="37">
        <f>Table2[[#This Row],[Unit cost FX]]*N270+Table2[[#This Row],[Unit cost FX]]</f>
        <v>0</v>
      </c>
      <c r="P270" s="44">
        <f>'H.W&amp;S.W&amp;Services'!$O270*'H.W&amp;S.W&amp;Services'!$I270</f>
        <v>0</v>
      </c>
    </row>
    <row r="271" spans="1:16" ht="15" customHeight="1" x14ac:dyDescent="0.2">
      <c r="A271" s="40"/>
      <c r="B271" s="31"/>
      <c r="C271" s="41"/>
      <c r="D271" s="49"/>
      <c r="E271" s="49"/>
      <c r="F271" s="49"/>
      <c r="G271" s="50"/>
      <c r="H271" s="41"/>
      <c r="I271" s="42"/>
      <c r="J271" s="46"/>
      <c r="K271" s="47"/>
      <c r="L271" s="34">
        <f>(Table210[[#This Row],[Unit cost]]*Table311[[#This Row],[FX]])+Table210[[#This Row],[Unit cost]]</f>
        <v>0</v>
      </c>
      <c r="M271" s="44">
        <f>I271*Table2[[#This Row],[Unit cost FX]]</f>
        <v>0</v>
      </c>
      <c r="N271" s="47"/>
      <c r="O271" s="37">
        <f>Table2[[#This Row],[Unit cost FX]]*N271+Table2[[#This Row],[Unit cost FX]]</f>
        <v>0</v>
      </c>
      <c r="P271" s="44">
        <f>'H.W&amp;S.W&amp;Services'!$O271*'H.W&amp;S.W&amp;Services'!$I271</f>
        <v>0</v>
      </c>
    </row>
    <row r="272" spans="1:16" ht="15" customHeight="1" x14ac:dyDescent="0.2">
      <c r="A272" s="40"/>
      <c r="B272" s="31"/>
      <c r="C272" s="41"/>
      <c r="D272" s="49"/>
      <c r="E272" s="49"/>
      <c r="F272" s="49"/>
      <c r="G272" s="50"/>
      <c r="H272" s="41"/>
      <c r="I272" s="42"/>
      <c r="J272" s="46"/>
      <c r="K272" s="47"/>
      <c r="L272" s="34">
        <f>(Table210[[#This Row],[Unit cost]]*Table311[[#This Row],[FX]])+Table210[[#This Row],[Unit cost]]</f>
        <v>0</v>
      </c>
      <c r="M272" s="44">
        <f>I272*Table2[[#This Row],[Unit cost FX]]</f>
        <v>0</v>
      </c>
      <c r="N272" s="47"/>
      <c r="O272" s="37">
        <f>Table2[[#This Row],[Unit cost FX]]*N272+Table2[[#This Row],[Unit cost FX]]</f>
        <v>0</v>
      </c>
      <c r="P272" s="44">
        <f>'H.W&amp;S.W&amp;Services'!$O272*'H.W&amp;S.W&amp;Services'!$I272</f>
        <v>0</v>
      </c>
    </row>
    <row r="273" spans="1:16" ht="15" customHeight="1" x14ac:dyDescent="0.2">
      <c r="A273" s="40"/>
      <c r="B273" s="31"/>
      <c r="C273" s="41"/>
      <c r="D273" s="49"/>
      <c r="E273" s="49"/>
      <c r="F273" s="49"/>
      <c r="G273" s="50"/>
      <c r="H273" s="41"/>
      <c r="I273" s="42"/>
      <c r="J273" s="46"/>
      <c r="K273" s="47"/>
      <c r="L273" s="34">
        <f>(Table210[[#This Row],[Unit cost]]*Table311[[#This Row],[FX]])+Table210[[#This Row],[Unit cost]]</f>
        <v>0</v>
      </c>
      <c r="M273" s="44">
        <f>I273*Table2[[#This Row],[Unit cost FX]]</f>
        <v>0</v>
      </c>
      <c r="N273" s="47"/>
      <c r="O273" s="37">
        <f>Table2[[#This Row],[Unit cost FX]]*N273+Table2[[#This Row],[Unit cost FX]]</f>
        <v>0</v>
      </c>
      <c r="P273" s="44">
        <f>'H.W&amp;S.W&amp;Services'!$O273*'H.W&amp;S.W&amp;Services'!$I273</f>
        <v>0</v>
      </c>
    </row>
    <row r="274" spans="1:16" ht="15" customHeight="1" x14ac:dyDescent="0.2">
      <c r="A274" s="40"/>
      <c r="B274" s="31"/>
      <c r="C274" s="41"/>
      <c r="D274" s="49"/>
      <c r="E274" s="49"/>
      <c r="F274" s="49"/>
      <c r="G274" s="50"/>
      <c r="H274" s="41"/>
      <c r="I274" s="42"/>
      <c r="J274" s="46"/>
      <c r="K274" s="47"/>
      <c r="L274" s="34">
        <f>(Table210[[#This Row],[Unit cost]]*Table311[[#This Row],[FX]])+Table210[[#This Row],[Unit cost]]</f>
        <v>0</v>
      </c>
      <c r="M274" s="44">
        <f>I274*Table2[[#This Row],[Unit cost FX]]</f>
        <v>0</v>
      </c>
      <c r="N274" s="47"/>
      <c r="O274" s="37">
        <f>Table2[[#This Row],[Unit cost FX]]*N274+Table2[[#This Row],[Unit cost FX]]</f>
        <v>0</v>
      </c>
      <c r="P274" s="44">
        <f>'H.W&amp;S.W&amp;Services'!$O274*'H.W&amp;S.W&amp;Services'!$I274</f>
        <v>0</v>
      </c>
    </row>
    <row r="275" spans="1:16" ht="15" customHeight="1" x14ac:dyDescent="0.2">
      <c r="A275" s="40"/>
      <c r="B275" s="31"/>
      <c r="C275" s="41"/>
      <c r="D275" s="49"/>
      <c r="E275" s="49"/>
      <c r="F275" s="49"/>
      <c r="G275" s="50"/>
      <c r="H275" s="41"/>
      <c r="I275" s="42"/>
      <c r="J275" s="46"/>
      <c r="K275" s="47"/>
      <c r="L275" s="34">
        <f>(Table210[[#This Row],[Unit cost]]*Table311[[#This Row],[FX]])+Table210[[#This Row],[Unit cost]]</f>
        <v>0</v>
      </c>
      <c r="M275" s="44">
        <f>I275*Table2[[#This Row],[Unit cost FX]]</f>
        <v>0</v>
      </c>
      <c r="N275" s="47"/>
      <c r="O275" s="37">
        <f>Table2[[#This Row],[Unit cost FX]]*N275+Table2[[#This Row],[Unit cost FX]]</f>
        <v>0</v>
      </c>
      <c r="P275" s="44">
        <f>'H.W&amp;S.W&amp;Services'!$O275*'H.W&amp;S.W&amp;Services'!$I275</f>
        <v>0</v>
      </c>
    </row>
    <row r="276" spans="1:16" ht="15" customHeight="1" x14ac:dyDescent="0.2">
      <c r="A276" s="40"/>
      <c r="B276" s="31"/>
      <c r="C276" s="41"/>
      <c r="D276" s="49"/>
      <c r="E276" s="49"/>
      <c r="F276" s="49"/>
      <c r="G276" s="50"/>
      <c r="H276" s="41"/>
      <c r="I276" s="42"/>
      <c r="J276" s="46"/>
      <c r="K276" s="47"/>
      <c r="L276" s="34">
        <f>(Table210[[#This Row],[Unit cost]]*Table311[[#This Row],[FX]])+Table210[[#This Row],[Unit cost]]</f>
        <v>0</v>
      </c>
      <c r="M276" s="44">
        <f>I276*Table2[[#This Row],[Unit cost FX]]</f>
        <v>0</v>
      </c>
      <c r="N276" s="47"/>
      <c r="O276" s="37">
        <f>Table2[[#This Row],[Unit cost FX]]*N276+Table2[[#This Row],[Unit cost FX]]</f>
        <v>0</v>
      </c>
      <c r="P276" s="44">
        <f>'H.W&amp;S.W&amp;Services'!$O276*'H.W&amp;S.W&amp;Services'!$I276</f>
        <v>0</v>
      </c>
    </row>
    <row r="277" spans="1:16" ht="15" customHeight="1" x14ac:dyDescent="0.2">
      <c r="A277" s="40"/>
      <c r="B277" s="31"/>
      <c r="C277" s="41"/>
      <c r="D277" s="49"/>
      <c r="E277" s="49"/>
      <c r="F277" s="49"/>
      <c r="G277" s="50"/>
      <c r="H277" s="41"/>
      <c r="I277" s="42"/>
      <c r="J277" s="46"/>
      <c r="K277" s="47"/>
      <c r="L277" s="34">
        <f>(Table210[[#This Row],[Unit cost]]*Table311[[#This Row],[FX]])+Table210[[#This Row],[Unit cost]]</f>
        <v>0</v>
      </c>
      <c r="M277" s="44">
        <f>I277*Table2[[#This Row],[Unit cost FX]]</f>
        <v>0</v>
      </c>
      <c r="N277" s="47"/>
      <c r="O277" s="37">
        <f>Table2[[#This Row],[Unit cost FX]]*N277+Table2[[#This Row],[Unit cost FX]]</f>
        <v>0</v>
      </c>
      <c r="P277" s="44">
        <f>'H.W&amp;S.W&amp;Services'!$O277*'H.W&amp;S.W&amp;Services'!$I277</f>
        <v>0</v>
      </c>
    </row>
    <row r="278" spans="1:16" ht="15" customHeight="1" x14ac:dyDescent="0.2">
      <c r="A278" s="40"/>
      <c r="B278" s="31"/>
      <c r="C278" s="41"/>
      <c r="D278" s="49"/>
      <c r="E278" s="49"/>
      <c r="F278" s="49"/>
      <c r="G278" s="50"/>
      <c r="H278" s="41"/>
      <c r="I278" s="42"/>
      <c r="J278" s="46"/>
      <c r="K278" s="47"/>
      <c r="L278" s="34">
        <f>(Table210[[#This Row],[Unit cost]]*Table311[[#This Row],[FX]])+Table210[[#This Row],[Unit cost]]</f>
        <v>0</v>
      </c>
      <c r="M278" s="44">
        <f>I278*Table2[[#This Row],[Unit cost FX]]</f>
        <v>0</v>
      </c>
      <c r="N278" s="47"/>
      <c r="O278" s="37">
        <f>Table2[[#This Row],[Unit cost FX]]*N278+Table2[[#This Row],[Unit cost FX]]</f>
        <v>0</v>
      </c>
      <c r="P278" s="44">
        <f>'H.W&amp;S.W&amp;Services'!$O278*'H.W&amp;S.W&amp;Services'!$I278</f>
        <v>0</v>
      </c>
    </row>
    <row r="279" spans="1:16" ht="15" customHeight="1" x14ac:dyDescent="0.2">
      <c r="A279" s="40"/>
      <c r="B279" s="31"/>
      <c r="C279" s="41"/>
      <c r="D279" s="49"/>
      <c r="E279" s="49"/>
      <c r="F279" s="49"/>
      <c r="G279" s="50"/>
      <c r="H279" s="41"/>
      <c r="I279" s="42"/>
      <c r="J279" s="46"/>
      <c r="K279" s="47"/>
      <c r="L279" s="34">
        <f>(Table210[[#This Row],[Unit cost]]*Table311[[#This Row],[FX]])+Table210[[#This Row],[Unit cost]]</f>
        <v>0</v>
      </c>
      <c r="M279" s="44">
        <f>I279*Table2[[#This Row],[Unit cost FX]]</f>
        <v>0</v>
      </c>
      <c r="N279" s="47"/>
      <c r="O279" s="37">
        <f>Table2[[#This Row],[Unit cost FX]]*N279+Table2[[#This Row],[Unit cost FX]]</f>
        <v>0</v>
      </c>
      <c r="P279" s="44">
        <f>'H.W&amp;S.W&amp;Services'!$O279*'H.W&amp;S.W&amp;Services'!$I279</f>
        <v>0</v>
      </c>
    </row>
    <row r="280" spans="1:16" ht="15" customHeight="1" x14ac:dyDescent="0.2">
      <c r="A280" s="40"/>
      <c r="B280" s="31"/>
      <c r="C280" s="41"/>
      <c r="D280" s="49"/>
      <c r="E280" s="49"/>
      <c r="F280" s="49"/>
      <c r="G280" s="50"/>
      <c r="H280" s="41"/>
      <c r="I280" s="42"/>
      <c r="J280" s="46"/>
      <c r="K280" s="47"/>
      <c r="L280" s="34">
        <f>(Table210[[#This Row],[Unit cost]]*Table311[[#This Row],[FX]])+Table210[[#This Row],[Unit cost]]</f>
        <v>0</v>
      </c>
      <c r="M280" s="44">
        <f>I280*Table2[[#This Row],[Unit cost FX]]</f>
        <v>0</v>
      </c>
      <c r="N280" s="47"/>
      <c r="O280" s="37">
        <f>Table2[[#This Row],[Unit cost FX]]*N280+Table2[[#This Row],[Unit cost FX]]</f>
        <v>0</v>
      </c>
      <c r="P280" s="44">
        <f>'H.W&amp;S.W&amp;Services'!$O280*'H.W&amp;S.W&amp;Services'!$I280</f>
        <v>0</v>
      </c>
    </row>
    <row r="281" spans="1:16" ht="15" customHeight="1" x14ac:dyDescent="0.2">
      <c r="A281" s="40"/>
      <c r="B281" s="31"/>
      <c r="C281" s="41"/>
      <c r="D281" s="49"/>
      <c r="E281" s="49"/>
      <c r="F281" s="49"/>
      <c r="G281" s="50"/>
      <c r="H281" s="41"/>
      <c r="I281" s="42"/>
      <c r="J281" s="46"/>
      <c r="K281" s="47"/>
      <c r="L281" s="34">
        <f>(Table210[[#This Row],[Unit cost]]*Table311[[#This Row],[FX]])+Table210[[#This Row],[Unit cost]]</f>
        <v>0</v>
      </c>
      <c r="M281" s="44">
        <f>I281*Table2[[#This Row],[Unit cost FX]]</f>
        <v>0</v>
      </c>
      <c r="N281" s="47"/>
      <c r="O281" s="37">
        <f>Table2[[#This Row],[Unit cost FX]]*N281+Table2[[#This Row],[Unit cost FX]]</f>
        <v>0</v>
      </c>
      <c r="P281" s="44">
        <f>'H.W&amp;S.W&amp;Services'!$O281*'H.W&amp;S.W&amp;Services'!$I281</f>
        <v>0</v>
      </c>
    </row>
    <row r="282" spans="1:16" ht="15" customHeight="1" x14ac:dyDescent="0.2">
      <c r="A282" s="40"/>
      <c r="B282" s="31"/>
      <c r="C282" s="41"/>
      <c r="D282" s="49"/>
      <c r="E282" s="49"/>
      <c r="F282" s="49"/>
      <c r="G282" s="50"/>
      <c r="H282" s="41"/>
      <c r="I282" s="42"/>
      <c r="J282" s="46"/>
      <c r="K282" s="47"/>
      <c r="L282" s="34">
        <f>(Table210[[#This Row],[Unit cost]]*Table311[[#This Row],[FX]])+Table210[[#This Row],[Unit cost]]</f>
        <v>0</v>
      </c>
      <c r="M282" s="44">
        <f>I282*Table2[[#This Row],[Unit cost FX]]</f>
        <v>0</v>
      </c>
      <c r="N282" s="47"/>
      <c r="O282" s="37">
        <f>Table2[[#This Row],[Unit cost FX]]*N282+Table2[[#This Row],[Unit cost FX]]</f>
        <v>0</v>
      </c>
      <c r="P282" s="44">
        <f>'H.W&amp;S.W&amp;Services'!$O282*'H.W&amp;S.W&amp;Services'!$I282</f>
        <v>0</v>
      </c>
    </row>
    <row r="283" spans="1:16" ht="15" customHeight="1" x14ac:dyDescent="0.2">
      <c r="A283" s="40"/>
      <c r="B283" s="31"/>
      <c r="C283" s="41"/>
      <c r="D283" s="49"/>
      <c r="E283" s="49"/>
      <c r="F283" s="49"/>
      <c r="G283" s="50"/>
      <c r="H283" s="41"/>
      <c r="I283" s="42"/>
      <c r="J283" s="46"/>
      <c r="K283" s="47"/>
      <c r="L283" s="34">
        <f>(Table210[[#This Row],[Unit cost]]*Table311[[#This Row],[FX]])+Table210[[#This Row],[Unit cost]]</f>
        <v>0</v>
      </c>
      <c r="M283" s="44">
        <f>I283*Table2[[#This Row],[Unit cost FX]]</f>
        <v>0</v>
      </c>
      <c r="N283" s="47"/>
      <c r="O283" s="37">
        <f>Table2[[#This Row],[Unit cost FX]]*N283+Table2[[#This Row],[Unit cost FX]]</f>
        <v>0</v>
      </c>
      <c r="P283" s="44">
        <f>'H.W&amp;S.W&amp;Services'!$O283*'H.W&amp;S.W&amp;Services'!$I283</f>
        <v>0</v>
      </c>
    </row>
    <row r="284" spans="1:16" ht="15" customHeight="1" x14ac:dyDescent="0.2">
      <c r="A284" s="40"/>
      <c r="B284" s="31"/>
      <c r="C284" s="41"/>
      <c r="D284" s="49"/>
      <c r="E284" s="49"/>
      <c r="F284" s="49"/>
      <c r="G284" s="50"/>
      <c r="H284" s="41"/>
      <c r="I284" s="42"/>
      <c r="J284" s="46"/>
      <c r="K284" s="47"/>
      <c r="L284" s="34">
        <f>(Table210[[#This Row],[Unit cost]]*Table311[[#This Row],[FX]])+Table210[[#This Row],[Unit cost]]</f>
        <v>0</v>
      </c>
      <c r="M284" s="44">
        <f>I284*Table2[[#This Row],[Unit cost FX]]</f>
        <v>0</v>
      </c>
      <c r="N284" s="47"/>
      <c r="O284" s="37">
        <f>Table2[[#This Row],[Unit cost FX]]*N284+Table2[[#This Row],[Unit cost FX]]</f>
        <v>0</v>
      </c>
      <c r="P284" s="44">
        <f>'H.W&amp;S.W&amp;Services'!$O284*'H.W&amp;S.W&amp;Services'!$I284</f>
        <v>0</v>
      </c>
    </row>
    <row r="285" spans="1:16" ht="15" customHeight="1" x14ac:dyDescent="0.2">
      <c r="A285" s="40"/>
      <c r="B285" s="31"/>
      <c r="C285" s="41"/>
      <c r="D285" s="49"/>
      <c r="E285" s="49"/>
      <c r="F285" s="49"/>
      <c r="G285" s="50"/>
      <c r="H285" s="41"/>
      <c r="I285" s="42"/>
      <c r="J285" s="46"/>
      <c r="K285" s="47"/>
      <c r="L285" s="34">
        <f>(Table210[[#This Row],[Unit cost]]*Table311[[#This Row],[FX]])+Table210[[#This Row],[Unit cost]]</f>
        <v>0</v>
      </c>
      <c r="M285" s="44">
        <f>I285*Table2[[#This Row],[Unit cost FX]]</f>
        <v>0</v>
      </c>
      <c r="N285" s="47"/>
      <c r="O285" s="37">
        <f>Table2[[#This Row],[Unit cost FX]]*N285+Table2[[#This Row],[Unit cost FX]]</f>
        <v>0</v>
      </c>
      <c r="P285" s="44">
        <f>'H.W&amp;S.W&amp;Services'!$O285*'H.W&amp;S.W&amp;Services'!$I285</f>
        <v>0</v>
      </c>
    </row>
    <row r="286" spans="1:16" ht="15" customHeight="1" x14ac:dyDescent="0.2">
      <c r="A286" s="40"/>
      <c r="B286" s="31"/>
      <c r="C286" s="41"/>
      <c r="D286" s="49"/>
      <c r="E286" s="49"/>
      <c r="F286" s="49"/>
      <c r="G286" s="50"/>
      <c r="H286" s="41"/>
      <c r="I286" s="42"/>
      <c r="J286" s="46"/>
      <c r="K286" s="47"/>
      <c r="L286" s="34">
        <f>(Table210[[#This Row],[Unit cost]]*Table311[[#This Row],[FX]])+Table210[[#This Row],[Unit cost]]</f>
        <v>0</v>
      </c>
      <c r="M286" s="44">
        <f>I286*Table2[[#This Row],[Unit cost FX]]</f>
        <v>0</v>
      </c>
      <c r="N286" s="47"/>
      <c r="O286" s="37">
        <f>Table2[[#This Row],[Unit cost FX]]*N286+Table2[[#This Row],[Unit cost FX]]</f>
        <v>0</v>
      </c>
      <c r="P286" s="44">
        <f>'H.W&amp;S.W&amp;Services'!$O286*'H.W&amp;S.W&amp;Services'!$I286</f>
        <v>0</v>
      </c>
    </row>
    <row r="287" spans="1:16" ht="15" customHeight="1" x14ac:dyDescent="0.2">
      <c r="A287" s="40"/>
      <c r="B287" s="31"/>
      <c r="C287" s="41"/>
      <c r="D287" s="49"/>
      <c r="E287" s="49"/>
      <c r="F287" s="49"/>
      <c r="G287" s="50"/>
      <c r="H287" s="41"/>
      <c r="I287" s="42"/>
      <c r="J287" s="46"/>
      <c r="K287" s="47"/>
      <c r="L287" s="34">
        <f>(Table210[[#This Row],[Unit cost]]*Table311[[#This Row],[FX]])+Table210[[#This Row],[Unit cost]]</f>
        <v>0</v>
      </c>
      <c r="M287" s="44">
        <f>I287*Table2[[#This Row],[Unit cost FX]]</f>
        <v>0</v>
      </c>
      <c r="N287" s="47"/>
      <c r="O287" s="37">
        <f>Table2[[#This Row],[Unit cost FX]]*N287+Table2[[#This Row],[Unit cost FX]]</f>
        <v>0</v>
      </c>
      <c r="P287" s="44">
        <f>'H.W&amp;S.W&amp;Services'!$O287*'H.W&amp;S.W&amp;Services'!$I287</f>
        <v>0</v>
      </c>
    </row>
    <row r="288" spans="1:16" ht="15" customHeight="1" x14ac:dyDescent="0.2">
      <c r="A288" s="40"/>
      <c r="B288" s="31"/>
      <c r="C288" s="41"/>
      <c r="D288" s="49"/>
      <c r="E288" s="49"/>
      <c r="F288" s="49"/>
      <c r="G288" s="50"/>
      <c r="H288" s="41"/>
      <c r="I288" s="42"/>
      <c r="J288" s="46"/>
      <c r="K288" s="47"/>
      <c r="L288" s="34">
        <f>(Table210[[#This Row],[Unit cost]]*Table311[[#This Row],[FX]])+Table210[[#This Row],[Unit cost]]</f>
        <v>0</v>
      </c>
      <c r="M288" s="44">
        <f>I288*Table2[[#This Row],[Unit cost FX]]</f>
        <v>0</v>
      </c>
      <c r="N288" s="47"/>
      <c r="O288" s="37">
        <f>Table2[[#This Row],[Unit cost FX]]*N288+Table2[[#This Row],[Unit cost FX]]</f>
        <v>0</v>
      </c>
      <c r="P288" s="44">
        <f>'H.W&amp;S.W&amp;Services'!$O288*'H.W&amp;S.W&amp;Services'!$I288</f>
        <v>0</v>
      </c>
    </row>
    <row r="289" spans="1:16" ht="15" customHeight="1" x14ac:dyDescent="0.2">
      <c r="A289" s="40"/>
      <c r="B289" s="31"/>
      <c r="C289" s="41"/>
      <c r="D289" s="49"/>
      <c r="E289" s="49"/>
      <c r="F289" s="49"/>
      <c r="G289" s="50"/>
      <c r="H289" s="41"/>
      <c r="I289" s="42"/>
      <c r="J289" s="46"/>
      <c r="K289" s="47"/>
      <c r="L289" s="34">
        <f>(Table210[[#This Row],[Unit cost]]*Table311[[#This Row],[FX]])+Table210[[#This Row],[Unit cost]]</f>
        <v>0</v>
      </c>
      <c r="M289" s="44">
        <f>I289*Table2[[#This Row],[Unit cost FX]]</f>
        <v>0</v>
      </c>
      <c r="N289" s="47"/>
      <c r="O289" s="37">
        <f>Table2[[#This Row],[Unit cost FX]]*N289+Table2[[#This Row],[Unit cost FX]]</f>
        <v>0</v>
      </c>
      <c r="P289" s="44">
        <f>'H.W&amp;S.W&amp;Services'!$O289*'H.W&amp;S.W&amp;Services'!$I289</f>
        <v>0</v>
      </c>
    </row>
    <row r="290" spans="1:16" ht="15" customHeight="1" x14ac:dyDescent="0.2">
      <c r="A290" s="40"/>
      <c r="B290" s="31"/>
      <c r="C290" s="41"/>
      <c r="D290" s="49"/>
      <c r="E290" s="49"/>
      <c r="F290" s="49"/>
      <c r="G290" s="50"/>
      <c r="H290" s="41"/>
      <c r="I290" s="42"/>
      <c r="J290" s="46"/>
      <c r="K290" s="47"/>
      <c r="L290" s="34">
        <f>(Table210[[#This Row],[Unit cost]]*Table311[[#This Row],[FX]])+Table210[[#This Row],[Unit cost]]</f>
        <v>0</v>
      </c>
      <c r="M290" s="44">
        <f>I290*Table2[[#This Row],[Unit cost FX]]</f>
        <v>0</v>
      </c>
      <c r="N290" s="47"/>
      <c r="O290" s="37">
        <f>Table2[[#This Row],[Unit cost FX]]*N290+Table2[[#This Row],[Unit cost FX]]</f>
        <v>0</v>
      </c>
      <c r="P290" s="44">
        <f>'H.W&amp;S.W&amp;Services'!$O290*'H.W&amp;S.W&amp;Services'!$I290</f>
        <v>0</v>
      </c>
    </row>
    <row r="291" spans="1:16" ht="15" customHeight="1" x14ac:dyDescent="0.2">
      <c r="A291" s="40"/>
      <c r="B291" s="31"/>
      <c r="C291" s="41"/>
      <c r="D291" s="49"/>
      <c r="E291" s="49"/>
      <c r="F291" s="49"/>
      <c r="G291" s="50"/>
      <c r="H291" s="41"/>
      <c r="I291" s="42"/>
      <c r="J291" s="46"/>
      <c r="K291" s="47"/>
      <c r="L291" s="34">
        <f>(Table210[[#This Row],[Unit cost]]*Table311[[#This Row],[FX]])+Table210[[#This Row],[Unit cost]]</f>
        <v>0</v>
      </c>
      <c r="M291" s="44">
        <f>I291*Table2[[#This Row],[Unit cost FX]]</f>
        <v>0</v>
      </c>
      <c r="N291" s="47"/>
      <c r="O291" s="37">
        <f>Table2[[#This Row],[Unit cost FX]]*N291+Table2[[#This Row],[Unit cost FX]]</f>
        <v>0</v>
      </c>
      <c r="P291" s="44">
        <f>'H.W&amp;S.W&amp;Services'!$O291*'H.W&amp;S.W&amp;Services'!$I291</f>
        <v>0</v>
      </c>
    </row>
    <row r="292" spans="1:16" ht="15" customHeight="1" x14ac:dyDescent="0.2">
      <c r="A292" s="40"/>
      <c r="B292" s="31"/>
      <c r="C292" s="41"/>
      <c r="D292" s="49"/>
      <c r="E292" s="49"/>
      <c r="F292" s="49"/>
      <c r="G292" s="50"/>
      <c r="H292" s="41"/>
      <c r="I292" s="42"/>
      <c r="J292" s="46"/>
      <c r="K292" s="47"/>
      <c r="L292" s="34">
        <f>(Table210[[#This Row],[Unit cost]]*Table311[[#This Row],[FX]])+Table210[[#This Row],[Unit cost]]</f>
        <v>0</v>
      </c>
      <c r="M292" s="44">
        <f>I292*Table2[[#This Row],[Unit cost FX]]</f>
        <v>0</v>
      </c>
      <c r="N292" s="47"/>
      <c r="O292" s="37">
        <f>Table2[[#This Row],[Unit cost FX]]*N292+Table2[[#This Row],[Unit cost FX]]</f>
        <v>0</v>
      </c>
      <c r="P292" s="44">
        <f>'H.W&amp;S.W&amp;Services'!$O292*'H.W&amp;S.W&amp;Services'!$I292</f>
        <v>0</v>
      </c>
    </row>
    <row r="293" spans="1:16" ht="15" customHeight="1" x14ac:dyDescent="0.2">
      <c r="A293" s="40"/>
      <c r="B293" s="31"/>
      <c r="C293" s="41"/>
      <c r="D293" s="49"/>
      <c r="E293" s="49"/>
      <c r="F293" s="49"/>
      <c r="G293" s="50"/>
      <c r="H293" s="41"/>
      <c r="I293" s="42"/>
      <c r="J293" s="46"/>
      <c r="K293" s="47"/>
      <c r="L293" s="34">
        <f>(Table210[[#This Row],[Unit cost]]*Table311[[#This Row],[FX]])+Table210[[#This Row],[Unit cost]]</f>
        <v>0</v>
      </c>
      <c r="M293" s="44">
        <f>I293*Table2[[#This Row],[Unit cost FX]]</f>
        <v>0</v>
      </c>
      <c r="N293" s="47"/>
      <c r="O293" s="37">
        <f>Table2[[#This Row],[Unit cost FX]]*N293+Table2[[#This Row],[Unit cost FX]]</f>
        <v>0</v>
      </c>
      <c r="P293" s="44">
        <f>'H.W&amp;S.W&amp;Services'!$O293*'H.W&amp;S.W&amp;Services'!$I293</f>
        <v>0</v>
      </c>
    </row>
    <row r="294" spans="1:16" ht="15" customHeight="1" x14ac:dyDescent="0.2">
      <c r="A294" s="40"/>
      <c r="B294" s="31"/>
      <c r="C294" s="41"/>
      <c r="D294" s="49"/>
      <c r="E294" s="49"/>
      <c r="F294" s="49"/>
      <c r="G294" s="50"/>
      <c r="H294" s="41"/>
      <c r="I294" s="42"/>
      <c r="J294" s="46"/>
      <c r="K294" s="47"/>
      <c r="L294" s="34">
        <f>(Table210[[#This Row],[Unit cost]]*Table311[[#This Row],[FX]])+Table210[[#This Row],[Unit cost]]</f>
        <v>0</v>
      </c>
      <c r="M294" s="44">
        <f>I294*Table2[[#This Row],[Unit cost FX]]</f>
        <v>0</v>
      </c>
      <c r="N294" s="47"/>
      <c r="O294" s="37">
        <f>Table2[[#This Row],[Unit cost FX]]*N294+Table2[[#This Row],[Unit cost FX]]</f>
        <v>0</v>
      </c>
      <c r="P294" s="44">
        <f>'H.W&amp;S.W&amp;Services'!$O294*'H.W&amp;S.W&amp;Services'!$I294</f>
        <v>0</v>
      </c>
    </row>
    <row r="295" spans="1:16" ht="15" customHeight="1" x14ac:dyDescent="0.2">
      <c r="A295" s="40"/>
      <c r="B295" s="31"/>
      <c r="C295" s="41"/>
      <c r="D295" s="49"/>
      <c r="E295" s="49"/>
      <c r="F295" s="49"/>
      <c r="G295" s="50"/>
      <c r="H295" s="41"/>
      <c r="I295" s="42"/>
      <c r="J295" s="46"/>
      <c r="K295" s="47"/>
      <c r="L295" s="34">
        <f>(Table210[[#This Row],[Unit cost]]*Table311[[#This Row],[FX]])+Table210[[#This Row],[Unit cost]]</f>
        <v>0</v>
      </c>
      <c r="M295" s="44">
        <f>I295*Table2[[#This Row],[Unit cost FX]]</f>
        <v>0</v>
      </c>
      <c r="N295" s="47"/>
      <c r="O295" s="37">
        <f>Table2[[#This Row],[Unit cost FX]]*N295+Table2[[#This Row],[Unit cost FX]]</f>
        <v>0</v>
      </c>
      <c r="P295" s="44">
        <f>'H.W&amp;S.W&amp;Services'!$O295*'H.W&amp;S.W&amp;Services'!$I295</f>
        <v>0</v>
      </c>
    </row>
    <row r="296" spans="1:16" ht="15" customHeight="1" x14ac:dyDescent="0.2">
      <c r="A296" s="40"/>
      <c r="B296" s="31"/>
      <c r="C296" s="41"/>
      <c r="D296" s="49"/>
      <c r="E296" s="49"/>
      <c r="F296" s="49"/>
      <c r="G296" s="50"/>
      <c r="H296" s="41"/>
      <c r="I296" s="42"/>
      <c r="J296" s="46"/>
      <c r="K296" s="47"/>
      <c r="L296" s="34">
        <f>(Table210[[#This Row],[Unit cost]]*Table311[[#This Row],[FX]])+Table210[[#This Row],[Unit cost]]</f>
        <v>0</v>
      </c>
      <c r="M296" s="44">
        <f>I296*Table2[[#This Row],[Unit cost FX]]</f>
        <v>0</v>
      </c>
      <c r="N296" s="47"/>
      <c r="O296" s="37">
        <f>Table2[[#This Row],[Unit cost FX]]*N296+Table2[[#This Row],[Unit cost FX]]</f>
        <v>0</v>
      </c>
      <c r="P296" s="44">
        <f>'H.W&amp;S.W&amp;Services'!$O296*'H.W&amp;S.W&amp;Services'!$I296</f>
        <v>0</v>
      </c>
    </row>
    <row r="297" spans="1:16" ht="15" customHeight="1" x14ac:dyDescent="0.2">
      <c r="A297" s="40"/>
      <c r="B297" s="31"/>
      <c r="C297" s="41"/>
      <c r="D297" s="49"/>
      <c r="E297" s="49"/>
      <c r="F297" s="49"/>
      <c r="G297" s="50"/>
      <c r="H297" s="41"/>
      <c r="I297" s="42"/>
      <c r="J297" s="46"/>
      <c r="K297" s="47"/>
      <c r="L297" s="34">
        <f>(Table210[[#This Row],[Unit cost]]*Table311[[#This Row],[FX]])+Table210[[#This Row],[Unit cost]]</f>
        <v>0</v>
      </c>
      <c r="M297" s="44">
        <f>I297*Table2[[#This Row],[Unit cost FX]]</f>
        <v>0</v>
      </c>
      <c r="N297" s="47"/>
      <c r="O297" s="37">
        <f>Table2[[#This Row],[Unit cost FX]]*N297+Table2[[#This Row],[Unit cost FX]]</f>
        <v>0</v>
      </c>
      <c r="P297" s="44">
        <f>'H.W&amp;S.W&amp;Services'!$O297*'H.W&amp;S.W&amp;Services'!$I297</f>
        <v>0</v>
      </c>
    </row>
    <row r="298" spans="1:16" ht="15" customHeight="1" x14ac:dyDescent="0.2">
      <c r="A298" s="40"/>
      <c r="B298" s="31"/>
      <c r="C298" s="41"/>
      <c r="D298" s="49"/>
      <c r="E298" s="49"/>
      <c r="F298" s="49"/>
      <c r="G298" s="50"/>
      <c r="H298" s="41"/>
      <c r="I298" s="42"/>
      <c r="J298" s="46"/>
      <c r="K298" s="47"/>
      <c r="L298" s="34">
        <f>(Table210[[#This Row],[Unit cost]]*Table311[[#This Row],[FX]])+Table210[[#This Row],[Unit cost]]</f>
        <v>0</v>
      </c>
      <c r="M298" s="44">
        <f>I298*Table2[[#This Row],[Unit cost FX]]</f>
        <v>0</v>
      </c>
      <c r="N298" s="47"/>
      <c r="O298" s="37">
        <f>Table2[[#This Row],[Unit cost FX]]*N298+Table2[[#This Row],[Unit cost FX]]</f>
        <v>0</v>
      </c>
      <c r="P298" s="44">
        <f>'H.W&amp;S.W&amp;Services'!$O298*'H.W&amp;S.W&amp;Services'!$I298</f>
        <v>0</v>
      </c>
    </row>
    <row r="299" spans="1:16" ht="15" customHeight="1" x14ac:dyDescent="0.2">
      <c r="A299" s="40"/>
      <c r="B299" s="31"/>
      <c r="C299" s="41"/>
      <c r="D299" s="49"/>
      <c r="E299" s="49"/>
      <c r="F299" s="49"/>
      <c r="G299" s="50"/>
      <c r="H299" s="41"/>
      <c r="I299" s="42"/>
      <c r="J299" s="46"/>
      <c r="K299" s="47"/>
      <c r="L299" s="34">
        <f>(Table210[[#This Row],[Unit cost]]*Table311[[#This Row],[FX]])+Table210[[#This Row],[Unit cost]]</f>
        <v>0</v>
      </c>
      <c r="M299" s="44">
        <f>I299*Table2[[#This Row],[Unit cost FX]]</f>
        <v>0</v>
      </c>
      <c r="N299" s="47"/>
      <c r="O299" s="37">
        <f>Table2[[#This Row],[Unit cost FX]]*N299+Table2[[#This Row],[Unit cost FX]]</f>
        <v>0</v>
      </c>
      <c r="P299" s="44">
        <f>'H.W&amp;S.W&amp;Services'!$O299*'H.W&amp;S.W&amp;Services'!$I299</f>
        <v>0</v>
      </c>
    </row>
    <row r="300" spans="1:16" ht="15" customHeight="1" x14ac:dyDescent="0.2">
      <c r="A300" s="40"/>
      <c r="B300" s="31"/>
      <c r="C300" s="41"/>
      <c r="D300" s="49"/>
      <c r="E300" s="49"/>
      <c r="F300" s="49"/>
      <c r="G300" s="50"/>
      <c r="H300" s="41"/>
      <c r="I300" s="42"/>
      <c r="J300" s="46"/>
      <c r="K300" s="47"/>
      <c r="L300" s="34">
        <f>(Table210[[#This Row],[Unit cost]]*Table311[[#This Row],[FX]])+Table210[[#This Row],[Unit cost]]</f>
        <v>0</v>
      </c>
      <c r="M300" s="44">
        <f>I300*Table2[[#This Row],[Unit cost FX]]</f>
        <v>0</v>
      </c>
      <c r="N300" s="47"/>
      <c r="O300" s="37">
        <f>Table2[[#This Row],[Unit cost FX]]*N300+Table2[[#This Row],[Unit cost FX]]</f>
        <v>0</v>
      </c>
      <c r="P300" s="44">
        <f>'H.W&amp;S.W&amp;Services'!$O300*'H.W&amp;S.W&amp;Services'!$I300</f>
        <v>0</v>
      </c>
    </row>
    <row r="301" spans="1:16" ht="15" customHeight="1" x14ac:dyDescent="0.2">
      <c r="A301" s="40"/>
      <c r="B301" s="31"/>
      <c r="C301" s="41"/>
      <c r="D301" s="49"/>
      <c r="E301" s="49"/>
      <c r="F301" s="49"/>
      <c r="G301" s="50"/>
      <c r="H301" s="41"/>
      <c r="I301" s="42"/>
      <c r="J301" s="46"/>
      <c r="K301" s="47"/>
      <c r="L301" s="34">
        <f>(Table210[[#This Row],[Unit cost]]*Table311[[#This Row],[FX]])+Table210[[#This Row],[Unit cost]]</f>
        <v>0</v>
      </c>
      <c r="M301" s="44">
        <f>I301*Table2[[#This Row],[Unit cost FX]]</f>
        <v>0</v>
      </c>
      <c r="N301" s="47"/>
      <c r="O301" s="37">
        <f>Table2[[#This Row],[Unit cost FX]]*N301+Table2[[#This Row],[Unit cost FX]]</f>
        <v>0</v>
      </c>
      <c r="P301" s="44">
        <f>'H.W&amp;S.W&amp;Services'!$O301*'H.W&amp;S.W&amp;Services'!$I301</f>
        <v>0</v>
      </c>
    </row>
    <row r="302" spans="1:16" ht="15" customHeight="1" x14ac:dyDescent="0.2">
      <c r="A302" s="40"/>
      <c r="B302" s="31"/>
      <c r="C302" s="41"/>
      <c r="D302" s="49"/>
      <c r="E302" s="49"/>
      <c r="F302" s="49"/>
      <c r="G302" s="50"/>
      <c r="H302" s="41"/>
      <c r="I302" s="42"/>
      <c r="J302" s="46"/>
      <c r="K302" s="47"/>
      <c r="L302" s="34">
        <f>(Table210[[#This Row],[Unit cost]]*Table311[[#This Row],[FX]])+Table210[[#This Row],[Unit cost]]</f>
        <v>0</v>
      </c>
      <c r="M302" s="44">
        <f>I302*Table2[[#This Row],[Unit cost FX]]</f>
        <v>0</v>
      </c>
      <c r="N302" s="47"/>
      <c r="O302" s="37">
        <f>Table2[[#This Row],[Unit cost FX]]*N302+Table2[[#This Row],[Unit cost FX]]</f>
        <v>0</v>
      </c>
      <c r="P302" s="44">
        <f>'H.W&amp;S.W&amp;Services'!$O302*'H.W&amp;S.W&amp;Services'!$I302</f>
        <v>0</v>
      </c>
    </row>
    <row r="303" spans="1:16" ht="15" customHeight="1" x14ac:dyDescent="0.2">
      <c r="A303" s="40"/>
      <c r="B303" s="31"/>
      <c r="C303" s="41"/>
      <c r="D303" s="49"/>
      <c r="E303" s="49"/>
      <c r="F303" s="49"/>
      <c r="G303" s="50"/>
      <c r="H303" s="41"/>
      <c r="I303" s="42"/>
      <c r="J303" s="46"/>
      <c r="K303" s="47"/>
      <c r="L303" s="34">
        <f>(Table210[[#This Row],[Unit cost]]*Table311[[#This Row],[FX]])+Table210[[#This Row],[Unit cost]]</f>
        <v>0</v>
      </c>
      <c r="M303" s="44">
        <f>I303*Table2[[#This Row],[Unit cost FX]]</f>
        <v>0</v>
      </c>
      <c r="N303" s="47"/>
      <c r="O303" s="37">
        <f>Table2[[#This Row],[Unit cost FX]]*N303+Table2[[#This Row],[Unit cost FX]]</f>
        <v>0</v>
      </c>
      <c r="P303" s="44">
        <f>'H.W&amp;S.W&amp;Services'!$O303*'H.W&amp;S.W&amp;Services'!$I303</f>
        <v>0</v>
      </c>
    </row>
    <row r="304" spans="1:16" ht="15" customHeight="1" x14ac:dyDescent="0.2">
      <c r="A304" s="40"/>
      <c r="B304" s="31"/>
      <c r="C304" s="41"/>
      <c r="D304" s="49"/>
      <c r="E304" s="49"/>
      <c r="F304" s="49"/>
      <c r="G304" s="50"/>
      <c r="H304" s="41"/>
      <c r="I304" s="42"/>
      <c r="J304" s="46"/>
      <c r="K304" s="47"/>
      <c r="L304" s="34">
        <f>(Table210[[#This Row],[Unit cost]]*Table311[[#This Row],[FX]])+Table210[[#This Row],[Unit cost]]</f>
        <v>0</v>
      </c>
      <c r="M304" s="44">
        <f>I304*Table2[[#This Row],[Unit cost FX]]</f>
        <v>0</v>
      </c>
      <c r="N304" s="47"/>
      <c r="O304" s="37">
        <f>Table2[[#This Row],[Unit cost FX]]*N304+Table2[[#This Row],[Unit cost FX]]</f>
        <v>0</v>
      </c>
      <c r="P304" s="44">
        <f>'H.W&amp;S.W&amp;Services'!$O304*'H.W&amp;S.W&amp;Services'!$I304</f>
        <v>0</v>
      </c>
    </row>
    <row r="305" spans="1:16" ht="15" customHeight="1" x14ac:dyDescent="0.2">
      <c r="A305" s="40"/>
      <c r="B305" s="31"/>
      <c r="C305" s="41"/>
      <c r="D305" s="49"/>
      <c r="E305" s="49"/>
      <c r="F305" s="49"/>
      <c r="G305" s="50"/>
      <c r="H305" s="41"/>
      <c r="I305" s="42"/>
      <c r="J305" s="46"/>
      <c r="K305" s="47"/>
      <c r="L305" s="34">
        <f>(Table210[[#This Row],[Unit cost]]*Table311[[#This Row],[FX]])+Table210[[#This Row],[Unit cost]]</f>
        <v>0</v>
      </c>
      <c r="M305" s="44">
        <f>I305*Table2[[#This Row],[Unit cost FX]]</f>
        <v>0</v>
      </c>
      <c r="N305" s="47"/>
      <c r="O305" s="37">
        <f>Table2[[#This Row],[Unit cost FX]]*N305+Table2[[#This Row],[Unit cost FX]]</f>
        <v>0</v>
      </c>
      <c r="P305" s="44">
        <f>'H.W&amp;S.W&amp;Services'!$O305*'H.W&amp;S.W&amp;Services'!$I305</f>
        <v>0</v>
      </c>
    </row>
    <row r="306" spans="1:16" ht="15" customHeight="1" x14ac:dyDescent="0.2">
      <c r="A306" s="40"/>
      <c r="B306" s="31"/>
      <c r="C306" s="41"/>
      <c r="D306" s="49"/>
      <c r="E306" s="49"/>
      <c r="F306" s="49"/>
      <c r="G306" s="50"/>
      <c r="H306" s="41"/>
      <c r="I306" s="42"/>
      <c r="J306" s="46"/>
      <c r="K306" s="47"/>
      <c r="L306" s="34">
        <f>(Table210[[#This Row],[Unit cost]]*Table311[[#This Row],[FX]])+Table210[[#This Row],[Unit cost]]</f>
        <v>0</v>
      </c>
      <c r="M306" s="44">
        <f>I306*Table2[[#This Row],[Unit cost FX]]</f>
        <v>0</v>
      </c>
      <c r="N306" s="47"/>
      <c r="O306" s="37">
        <f>Table2[[#This Row],[Unit cost FX]]*N306+Table2[[#This Row],[Unit cost FX]]</f>
        <v>0</v>
      </c>
      <c r="P306" s="44">
        <f>'H.W&amp;S.W&amp;Services'!$O306*'H.W&amp;S.W&amp;Services'!$I306</f>
        <v>0</v>
      </c>
    </row>
    <row r="307" spans="1:16" ht="15" customHeight="1" x14ac:dyDescent="0.2">
      <c r="A307" s="40"/>
      <c r="B307" s="31"/>
      <c r="C307" s="41"/>
      <c r="D307" s="49"/>
      <c r="E307" s="49"/>
      <c r="F307" s="49"/>
      <c r="G307" s="50"/>
      <c r="H307" s="41"/>
      <c r="I307" s="42"/>
      <c r="J307" s="46"/>
      <c r="K307" s="47"/>
      <c r="L307" s="34">
        <f>(Table210[[#This Row],[Unit cost]]*Table311[[#This Row],[FX]])+Table210[[#This Row],[Unit cost]]</f>
        <v>0</v>
      </c>
      <c r="M307" s="44">
        <f>I307*Table2[[#This Row],[Unit cost FX]]</f>
        <v>0</v>
      </c>
      <c r="N307" s="47"/>
      <c r="O307" s="37">
        <f>Table2[[#This Row],[Unit cost FX]]*N307+Table2[[#This Row],[Unit cost FX]]</f>
        <v>0</v>
      </c>
      <c r="P307" s="44">
        <f>'H.W&amp;S.W&amp;Services'!$O307*'H.W&amp;S.W&amp;Services'!$I307</f>
        <v>0</v>
      </c>
    </row>
    <row r="308" spans="1:16" ht="15" customHeight="1" x14ac:dyDescent="0.2">
      <c r="A308" s="40"/>
      <c r="B308" s="31"/>
      <c r="C308" s="41"/>
      <c r="D308" s="49"/>
      <c r="E308" s="49"/>
      <c r="F308" s="49"/>
      <c r="G308" s="50"/>
      <c r="H308" s="41"/>
      <c r="I308" s="42"/>
      <c r="J308" s="46"/>
      <c r="K308" s="47"/>
      <c r="L308" s="34">
        <f>(Table210[[#This Row],[Unit cost]]*Table311[[#This Row],[FX]])+Table210[[#This Row],[Unit cost]]</f>
        <v>0</v>
      </c>
      <c r="M308" s="44">
        <f>I308*Table2[[#This Row],[Unit cost FX]]</f>
        <v>0</v>
      </c>
      <c r="N308" s="47"/>
      <c r="O308" s="37">
        <f>Table2[[#This Row],[Unit cost FX]]*N308+Table2[[#This Row],[Unit cost FX]]</f>
        <v>0</v>
      </c>
      <c r="P308" s="44">
        <f>'H.W&amp;S.W&amp;Services'!$O308*'H.W&amp;S.W&amp;Services'!$I308</f>
        <v>0</v>
      </c>
    </row>
    <row r="309" spans="1:16" ht="15" customHeight="1" x14ac:dyDescent="0.2">
      <c r="A309" s="40"/>
      <c r="B309" s="31"/>
      <c r="C309" s="41"/>
      <c r="D309" s="49"/>
      <c r="E309" s="49"/>
      <c r="F309" s="49"/>
      <c r="G309" s="50"/>
      <c r="H309" s="41"/>
      <c r="I309" s="42"/>
      <c r="J309" s="46"/>
      <c r="K309" s="47"/>
      <c r="L309" s="34">
        <f>(Table210[[#This Row],[Unit cost]]*Table311[[#This Row],[FX]])+Table210[[#This Row],[Unit cost]]</f>
        <v>0</v>
      </c>
      <c r="M309" s="44">
        <f>I309*Table2[[#This Row],[Unit cost FX]]</f>
        <v>0</v>
      </c>
      <c r="N309" s="47"/>
      <c r="O309" s="37">
        <f>Table2[[#This Row],[Unit cost FX]]*N309+Table2[[#This Row],[Unit cost FX]]</f>
        <v>0</v>
      </c>
      <c r="P309" s="44">
        <f>'H.W&amp;S.W&amp;Services'!$O309*'H.W&amp;S.W&amp;Services'!$I309</f>
        <v>0</v>
      </c>
    </row>
    <row r="310" spans="1:16" ht="15" customHeight="1" x14ac:dyDescent="0.2">
      <c r="A310" s="40"/>
      <c r="B310" s="31"/>
      <c r="C310" s="41"/>
      <c r="D310" s="49"/>
      <c r="E310" s="49"/>
      <c r="F310" s="49"/>
      <c r="G310" s="50"/>
      <c r="H310" s="41"/>
      <c r="I310" s="42"/>
      <c r="J310" s="46"/>
      <c r="K310" s="47"/>
      <c r="L310" s="34">
        <f>(Table210[[#This Row],[Unit cost]]*Table311[[#This Row],[FX]])+Table210[[#This Row],[Unit cost]]</f>
        <v>0</v>
      </c>
      <c r="M310" s="44">
        <f>I310*Table2[[#This Row],[Unit cost FX]]</f>
        <v>0</v>
      </c>
      <c r="N310" s="47"/>
      <c r="O310" s="37">
        <f>Table2[[#This Row],[Unit cost FX]]*N310+Table2[[#This Row],[Unit cost FX]]</f>
        <v>0</v>
      </c>
      <c r="P310" s="44">
        <f>'H.W&amp;S.W&amp;Services'!$O310*'H.W&amp;S.W&amp;Services'!$I310</f>
        <v>0</v>
      </c>
    </row>
    <row r="311" spans="1:16" ht="15" customHeight="1" x14ac:dyDescent="0.2">
      <c r="A311" s="40"/>
      <c r="B311" s="31"/>
      <c r="C311" s="41"/>
      <c r="D311" s="49"/>
      <c r="E311" s="49"/>
      <c r="F311" s="49"/>
      <c r="G311" s="50"/>
      <c r="H311" s="41"/>
      <c r="I311" s="42"/>
      <c r="J311" s="46"/>
      <c r="K311" s="47"/>
      <c r="L311" s="34">
        <f>(Table210[[#This Row],[Unit cost]]*Table311[[#This Row],[FX]])+Table210[[#This Row],[Unit cost]]</f>
        <v>0</v>
      </c>
      <c r="M311" s="44">
        <f>I311*Table2[[#This Row],[Unit cost FX]]</f>
        <v>0</v>
      </c>
      <c r="N311" s="47"/>
      <c r="O311" s="37">
        <f>Table2[[#This Row],[Unit cost FX]]*N311+Table2[[#This Row],[Unit cost FX]]</f>
        <v>0</v>
      </c>
      <c r="P311" s="44">
        <f>'H.W&amp;S.W&amp;Services'!$O311*'H.W&amp;S.W&amp;Services'!$I311</f>
        <v>0</v>
      </c>
    </row>
    <row r="312" spans="1:16" ht="15" customHeight="1" x14ac:dyDescent="0.2">
      <c r="A312" s="40"/>
      <c r="B312" s="31"/>
      <c r="C312" s="41"/>
      <c r="D312" s="49"/>
      <c r="E312" s="49"/>
      <c r="F312" s="49"/>
      <c r="G312" s="50"/>
      <c r="H312" s="41"/>
      <c r="I312" s="42"/>
      <c r="J312" s="46"/>
      <c r="K312" s="47"/>
      <c r="L312" s="34">
        <f>(Table210[[#This Row],[Unit cost]]*Table311[[#This Row],[FX]])+Table210[[#This Row],[Unit cost]]</f>
        <v>0</v>
      </c>
      <c r="M312" s="44">
        <f>I312*Table2[[#This Row],[Unit cost FX]]</f>
        <v>0</v>
      </c>
      <c r="N312" s="47"/>
      <c r="O312" s="37">
        <f>Table2[[#This Row],[Unit cost FX]]*N312+Table2[[#This Row],[Unit cost FX]]</f>
        <v>0</v>
      </c>
      <c r="P312" s="44">
        <f>'H.W&amp;S.W&amp;Services'!$O312*'H.W&amp;S.W&amp;Services'!$I312</f>
        <v>0</v>
      </c>
    </row>
    <row r="313" spans="1:16" ht="15" customHeight="1" x14ac:dyDescent="0.2">
      <c r="A313" s="40"/>
      <c r="B313" s="31"/>
      <c r="C313" s="41"/>
      <c r="D313" s="49"/>
      <c r="E313" s="49"/>
      <c r="F313" s="49"/>
      <c r="G313" s="50"/>
      <c r="H313" s="41"/>
      <c r="I313" s="42"/>
      <c r="J313" s="46"/>
      <c r="K313" s="47"/>
      <c r="L313" s="34">
        <f>(Table210[[#This Row],[Unit cost]]*Table311[[#This Row],[FX]])+Table210[[#This Row],[Unit cost]]</f>
        <v>0</v>
      </c>
      <c r="M313" s="44">
        <f>I313*Table2[[#This Row],[Unit cost FX]]</f>
        <v>0</v>
      </c>
      <c r="N313" s="47"/>
      <c r="O313" s="37">
        <f>Table2[[#This Row],[Unit cost FX]]*N313+Table2[[#This Row],[Unit cost FX]]</f>
        <v>0</v>
      </c>
      <c r="P313" s="44">
        <f>'H.W&amp;S.W&amp;Services'!$O313*'H.W&amp;S.W&amp;Services'!$I313</f>
        <v>0</v>
      </c>
    </row>
    <row r="314" spans="1:16" ht="15" customHeight="1" x14ac:dyDescent="0.2">
      <c r="A314" s="40"/>
      <c r="B314" s="31"/>
      <c r="C314" s="41"/>
      <c r="D314" s="49"/>
      <c r="E314" s="49"/>
      <c r="F314" s="49"/>
      <c r="G314" s="50"/>
      <c r="H314" s="41"/>
      <c r="I314" s="42"/>
      <c r="J314" s="46"/>
      <c r="K314" s="47"/>
      <c r="L314" s="34">
        <f>(Table210[[#This Row],[Unit cost]]*Table311[[#This Row],[FX]])+Table210[[#This Row],[Unit cost]]</f>
        <v>0</v>
      </c>
      <c r="M314" s="44">
        <f>I314*Table2[[#This Row],[Unit cost FX]]</f>
        <v>0</v>
      </c>
      <c r="N314" s="47"/>
      <c r="O314" s="37">
        <f>Table2[[#This Row],[Unit cost FX]]*N314+Table2[[#This Row],[Unit cost FX]]</f>
        <v>0</v>
      </c>
      <c r="P314" s="44">
        <f>'H.W&amp;S.W&amp;Services'!$O314*'H.W&amp;S.W&amp;Services'!$I314</f>
        <v>0</v>
      </c>
    </row>
    <row r="315" spans="1:16" ht="15" customHeight="1" x14ac:dyDescent="0.2">
      <c r="A315" s="40"/>
      <c r="B315" s="31"/>
      <c r="C315" s="41"/>
      <c r="D315" s="49"/>
      <c r="E315" s="49"/>
      <c r="F315" s="49"/>
      <c r="G315" s="50"/>
      <c r="H315" s="41"/>
      <c r="I315" s="42"/>
      <c r="J315" s="46"/>
      <c r="K315" s="47"/>
      <c r="L315" s="34">
        <f>(Table210[[#This Row],[Unit cost]]*Table311[[#This Row],[FX]])+Table210[[#This Row],[Unit cost]]</f>
        <v>0</v>
      </c>
      <c r="M315" s="44">
        <f>I315*Table2[[#This Row],[Unit cost FX]]</f>
        <v>0</v>
      </c>
      <c r="N315" s="47"/>
      <c r="O315" s="37">
        <f>Table2[[#This Row],[Unit cost FX]]*N315+Table2[[#This Row],[Unit cost FX]]</f>
        <v>0</v>
      </c>
      <c r="P315" s="44">
        <f>'H.W&amp;S.W&amp;Services'!$O315*'H.W&amp;S.W&amp;Services'!$I315</f>
        <v>0</v>
      </c>
    </row>
    <row r="316" spans="1:16" ht="15" customHeight="1" x14ac:dyDescent="0.2">
      <c r="A316" s="40"/>
      <c r="B316" s="31"/>
      <c r="C316" s="41"/>
      <c r="D316" s="49"/>
      <c r="E316" s="49"/>
      <c r="F316" s="49"/>
      <c r="G316" s="50"/>
      <c r="H316" s="41"/>
      <c r="I316" s="42"/>
      <c r="J316" s="46"/>
      <c r="K316" s="47"/>
      <c r="L316" s="34">
        <f>(Table210[[#This Row],[Unit cost]]*Table311[[#This Row],[FX]])+Table210[[#This Row],[Unit cost]]</f>
        <v>0</v>
      </c>
      <c r="M316" s="44">
        <f>I316*Table2[[#This Row],[Unit cost FX]]</f>
        <v>0</v>
      </c>
      <c r="N316" s="47"/>
      <c r="O316" s="37">
        <f>Table2[[#This Row],[Unit cost FX]]*N316+Table2[[#This Row],[Unit cost FX]]</f>
        <v>0</v>
      </c>
      <c r="P316" s="44">
        <f>'H.W&amp;S.W&amp;Services'!$O316*'H.W&amp;S.W&amp;Services'!$I316</f>
        <v>0</v>
      </c>
    </row>
    <row r="317" spans="1:16" ht="15" customHeight="1" x14ac:dyDescent="0.2">
      <c r="A317" s="40"/>
      <c r="B317" s="31"/>
      <c r="C317" s="41"/>
      <c r="D317" s="49"/>
      <c r="E317" s="49"/>
      <c r="F317" s="49"/>
      <c r="G317" s="50"/>
      <c r="H317" s="41"/>
      <c r="I317" s="42"/>
      <c r="J317" s="46"/>
      <c r="K317" s="47"/>
      <c r="L317" s="34">
        <f>(Table210[[#This Row],[Unit cost]]*Table311[[#This Row],[FX]])+Table210[[#This Row],[Unit cost]]</f>
        <v>0</v>
      </c>
      <c r="M317" s="44">
        <f>I317*Table2[[#This Row],[Unit cost FX]]</f>
        <v>0</v>
      </c>
      <c r="N317" s="47"/>
      <c r="O317" s="37">
        <f>Table2[[#This Row],[Unit cost FX]]*N317+Table2[[#This Row],[Unit cost FX]]</f>
        <v>0</v>
      </c>
      <c r="P317" s="44">
        <f>'H.W&amp;S.W&amp;Services'!$O317*'H.W&amp;S.W&amp;Services'!$I317</f>
        <v>0</v>
      </c>
    </row>
    <row r="318" spans="1:16" ht="15" customHeight="1" x14ac:dyDescent="0.2">
      <c r="A318" s="40"/>
      <c r="B318" s="31"/>
      <c r="C318" s="41"/>
      <c r="D318" s="49"/>
      <c r="E318" s="49"/>
      <c r="F318" s="49"/>
      <c r="G318" s="50"/>
      <c r="H318" s="41"/>
      <c r="I318" s="42"/>
      <c r="J318" s="46"/>
      <c r="K318" s="47"/>
      <c r="L318" s="34">
        <f>(Table210[[#This Row],[Unit cost]]*Table311[[#This Row],[FX]])+Table210[[#This Row],[Unit cost]]</f>
        <v>0</v>
      </c>
      <c r="M318" s="44">
        <f>I318*Table2[[#This Row],[Unit cost FX]]</f>
        <v>0</v>
      </c>
      <c r="N318" s="47"/>
      <c r="O318" s="37">
        <f>Table2[[#This Row],[Unit cost FX]]*N318+Table2[[#This Row],[Unit cost FX]]</f>
        <v>0</v>
      </c>
      <c r="P318" s="44">
        <f>'H.W&amp;S.W&amp;Services'!$O318*'H.W&amp;S.W&amp;Services'!$I318</f>
        <v>0</v>
      </c>
    </row>
    <row r="319" spans="1:16" ht="15" customHeight="1" x14ac:dyDescent="0.2">
      <c r="A319" s="40"/>
      <c r="B319" s="31"/>
      <c r="C319" s="41"/>
      <c r="D319" s="49"/>
      <c r="E319" s="49"/>
      <c r="F319" s="49"/>
      <c r="G319" s="50"/>
      <c r="H319" s="41"/>
      <c r="I319" s="42"/>
      <c r="J319" s="46"/>
      <c r="K319" s="47"/>
      <c r="L319" s="34">
        <f>(Table210[[#This Row],[Unit cost]]*Table311[[#This Row],[FX]])+Table210[[#This Row],[Unit cost]]</f>
        <v>0</v>
      </c>
      <c r="M319" s="44">
        <f>I319*Table2[[#This Row],[Unit cost FX]]</f>
        <v>0</v>
      </c>
      <c r="N319" s="47"/>
      <c r="O319" s="37">
        <f>Table2[[#This Row],[Unit cost FX]]*N319+Table2[[#This Row],[Unit cost FX]]</f>
        <v>0</v>
      </c>
      <c r="P319" s="44">
        <f>'H.W&amp;S.W&amp;Services'!$O319*'H.W&amp;S.W&amp;Services'!$I319</f>
        <v>0</v>
      </c>
    </row>
    <row r="320" spans="1:16" ht="15" customHeight="1" x14ac:dyDescent="0.2">
      <c r="A320" s="40"/>
      <c r="B320" s="31"/>
      <c r="C320" s="41"/>
      <c r="D320" s="49"/>
      <c r="E320" s="49"/>
      <c r="F320" s="49"/>
      <c r="G320" s="50"/>
      <c r="H320" s="41"/>
      <c r="I320" s="42"/>
      <c r="J320" s="46"/>
      <c r="K320" s="47"/>
      <c r="L320" s="34">
        <f>(Table210[[#This Row],[Unit cost]]*Table311[[#This Row],[FX]])+Table210[[#This Row],[Unit cost]]</f>
        <v>0</v>
      </c>
      <c r="M320" s="44">
        <f>I320*Table2[[#This Row],[Unit cost FX]]</f>
        <v>0</v>
      </c>
      <c r="N320" s="47"/>
      <c r="O320" s="37">
        <f>Table2[[#This Row],[Unit cost FX]]*N320+Table2[[#This Row],[Unit cost FX]]</f>
        <v>0</v>
      </c>
      <c r="P320" s="44">
        <f>'H.W&amp;S.W&amp;Services'!$O320*'H.W&amp;S.W&amp;Services'!$I320</f>
        <v>0</v>
      </c>
    </row>
    <row r="321" spans="1:16" ht="15" customHeight="1" x14ac:dyDescent="0.2">
      <c r="A321" s="40"/>
      <c r="B321" s="31"/>
      <c r="C321" s="41"/>
      <c r="D321" s="49"/>
      <c r="E321" s="49"/>
      <c r="F321" s="49"/>
      <c r="G321" s="50"/>
      <c r="H321" s="41"/>
      <c r="I321" s="42"/>
      <c r="J321" s="46"/>
      <c r="K321" s="47"/>
      <c r="L321" s="34">
        <f>(Table210[[#This Row],[Unit cost]]*Table311[[#This Row],[FX]])+Table210[[#This Row],[Unit cost]]</f>
        <v>0</v>
      </c>
      <c r="M321" s="44">
        <f>I321*Table2[[#This Row],[Unit cost FX]]</f>
        <v>0</v>
      </c>
      <c r="N321" s="47"/>
      <c r="O321" s="37">
        <f>Table2[[#This Row],[Unit cost FX]]*N321+Table2[[#This Row],[Unit cost FX]]</f>
        <v>0</v>
      </c>
      <c r="P321" s="44">
        <f>'H.W&amp;S.W&amp;Services'!$O321*'H.W&amp;S.W&amp;Services'!$I321</f>
        <v>0</v>
      </c>
    </row>
    <row r="322" spans="1:16" ht="15" customHeight="1" x14ac:dyDescent="0.2">
      <c r="A322" s="40"/>
      <c r="B322" s="31"/>
      <c r="C322" s="41"/>
      <c r="D322" s="49"/>
      <c r="E322" s="49"/>
      <c r="F322" s="49"/>
      <c r="G322" s="50"/>
      <c r="H322" s="41"/>
      <c r="I322" s="42"/>
      <c r="J322" s="46"/>
      <c r="K322" s="47"/>
      <c r="L322" s="34">
        <f>(Table210[[#This Row],[Unit cost]]*Table311[[#This Row],[FX]])+Table210[[#This Row],[Unit cost]]</f>
        <v>0</v>
      </c>
      <c r="M322" s="44">
        <f>I322*Table2[[#This Row],[Unit cost FX]]</f>
        <v>0</v>
      </c>
      <c r="N322" s="47"/>
      <c r="O322" s="37">
        <f>Table2[[#This Row],[Unit cost FX]]*N322+Table2[[#This Row],[Unit cost FX]]</f>
        <v>0</v>
      </c>
      <c r="P322" s="44">
        <f>'H.W&amp;S.W&amp;Services'!$O322*'H.W&amp;S.W&amp;Services'!$I322</f>
        <v>0</v>
      </c>
    </row>
    <row r="323" spans="1:16" ht="15" customHeight="1" x14ac:dyDescent="0.2">
      <c r="A323" s="40"/>
      <c r="B323" s="31"/>
      <c r="C323" s="41"/>
      <c r="D323" s="49"/>
      <c r="E323" s="49"/>
      <c r="F323" s="49"/>
      <c r="G323" s="50"/>
      <c r="H323" s="41"/>
      <c r="I323" s="42"/>
      <c r="J323" s="46"/>
      <c r="K323" s="47"/>
      <c r="L323" s="34">
        <f>(Table210[[#This Row],[Unit cost]]*Table311[[#This Row],[FX]])+Table210[[#This Row],[Unit cost]]</f>
        <v>0</v>
      </c>
      <c r="M323" s="44">
        <f>I323*Table2[[#This Row],[Unit cost FX]]</f>
        <v>0</v>
      </c>
      <c r="N323" s="47"/>
      <c r="O323" s="37">
        <f>Table2[[#This Row],[Unit cost FX]]*N323+Table2[[#This Row],[Unit cost FX]]</f>
        <v>0</v>
      </c>
      <c r="P323" s="44">
        <f>'H.W&amp;S.W&amp;Services'!$O323*'H.W&amp;S.W&amp;Services'!$I323</f>
        <v>0</v>
      </c>
    </row>
    <row r="324" spans="1:16" ht="15" customHeight="1" x14ac:dyDescent="0.2">
      <c r="A324" s="40"/>
      <c r="B324" s="31"/>
      <c r="C324" s="41"/>
      <c r="D324" s="49"/>
      <c r="E324" s="49"/>
      <c r="F324" s="49"/>
      <c r="G324" s="50"/>
      <c r="H324" s="41"/>
      <c r="I324" s="42"/>
      <c r="J324" s="46"/>
      <c r="K324" s="47"/>
      <c r="L324" s="34">
        <f>(Table210[[#This Row],[Unit cost]]*Table311[[#This Row],[FX]])+Table210[[#This Row],[Unit cost]]</f>
        <v>0</v>
      </c>
      <c r="M324" s="44">
        <f>I324*Table2[[#This Row],[Unit cost FX]]</f>
        <v>0</v>
      </c>
      <c r="N324" s="47"/>
      <c r="O324" s="37">
        <f>Table2[[#This Row],[Unit cost FX]]*N324+Table2[[#This Row],[Unit cost FX]]</f>
        <v>0</v>
      </c>
      <c r="P324" s="44">
        <f>'H.W&amp;S.W&amp;Services'!$O324*'H.W&amp;S.W&amp;Services'!$I324</f>
        <v>0</v>
      </c>
    </row>
    <row r="325" spans="1:16" ht="15" customHeight="1" x14ac:dyDescent="0.2">
      <c r="A325" s="40"/>
      <c r="B325" s="31"/>
      <c r="C325" s="41"/>
      <c r="D325" s="49"/>
      <c r="E325" s="49"/>
      <c r="F325" s="49"/>
      <c r="G325" s="50"/>
      <c r="H325" s="41"/>
      <c r="I325" s="42"/>
      <c r="J325" s="46"/>
      <c r="K325" s="47"/>
      <c r="L325" s="34">
        <f>(Table210[[#This Row],[Unit cost]]*Table311[[#This Row],[FX]])+Table210[[#This Row],[Unit cost]]</f>
        <v>0</v>
      </c>
      <c r="M325" s="44">
        <f>I325*Table2[[#This Row],[Unit cost FX]]</f>
        <v>0</v>
      </c>
      <c r="N325" s="47"/>
      <c r="O325" s="37">
        <f>Table2[[#This Row],[Unit cost FX]]*N325+Table2[[#This Row],[Unit cost FX]]</f>
        <v>0</v>
      </c>
      <c r="P325" s="44">
        <f>'H.W&amp;S.W&amp;Services'!$O325*'H.W&amp;S.W&amp;Services'!$I325</f>
        <v>0</v>
      </c>
    </row>
    <row r="326" spans="1:16" ht="15" customHeight="1" x14ac:dyDescent="0.2">
      <c r="A326" s="40"/>
      <c r="B326" s="31"/>
      <c r="C326" s="41"/>
      <c r="D326" s="49"/>
      <c r="E326" s="49"/>
      <c r="F326" s="49"/>
      <c r="G326" s="50"/>
      <c r="H326" s="41"/>
      <c r="I326" s="42"/>
      <c r="J326" s="46"/>
      <c r="K326" s="47"/>
      <c r="L326" s="34">
        <f>(Table210[[#This Row],[Unit cost]]*Table311[[#This Row],[FX]])+Table210[[#This Row],[Unit cost]]</f>
        <v>0</v>
      </c>
      <c r="M326" s="44">
        <f>I326*Table2[[#This Row],[Unit cost FX]]</f>
        <v>0</v>
      </c>
      <c r="N326" s="47"/>
      <c r="O326" s="37">
        <f>Table2[[#This Row],[Unit cost FX]]*N326+Table2[[#This Row],[Unit cost FX]]</f>
        <v>0</v>
      </c>
      <c r="P326" s="44">
        <f>'H.W&amp;S.W&amp;Services'!$O326*'H.W&amp;S.W&amp;Services'!$I326</f>
        <v>0</v>
      </c>
    </row>
    <row r="327" spans="1:16" ht="15" customHeight="1" x14ac:dyDescent="0.2">
      <c r="A327" s="40"/>
      <c r="B327" s="31"/>
      <c r="C327" s="41"/>
      <c r="D327" s="49"/>
      <c r="E327" s="49"/>
      <c r="F327" s="49"/>
      <c r="G327" s="50"/>
      <c r="H327" s="41"/>
      <c r="I327" s="42"/>
      <c r="J327" s="46"/>
      <c r="K327" s="47"/>
      <c r="L327" s="34">
        <f>(Table210[[#This Row],[Unit cost]]*Table311[[#This Row],[FX]])+Table210[[#This Row],[Unit cost]]</f>
        <v>0</v>
      </c>
      <c r="M327" s="44">
        <f>I327*Table2[[#This Row],[Unit cost FX]]</f>
        <v>0</v>
      </c>
      <c r="N327" s="47"/>
      <c r="O327" s="37">
        <f>Table2[[#This Row],[Unit cost FX]]*N327+Table2[[#This Row],[Unit cost FX]]</f>
        <v>0</v>
      </c>
      <c r="P327" s="44">
        <f>'H.W&amp;S.W&amp;Services'!$O327*'H.W&amp;S.W&amp;Services'!$I327</f>
        <v>0</v>
      </c>
    </row>
    <row r="328" spans="1:16" ht="15" customHeight="1" x14ac:dyDescent="0.2">
      <c r="A328" s="40"/>
      <c r="B328" s="31"/>
      <c r="C328" s="41"/>
      <c r="D328" s="49"/>
      <c r="E328" s="49"/>
      <c r="F328" s="49"/>
      <c r="G328" s="50"/>
      <c r="H328" s="41"/>
      <c r="I328" s="42"/>
      <c r="J328" s="46"/>
      <c r="K328" s="47"/>
      <c r="L328" s="34">
        <f>(Table210[[#This Row],[Unit cost]]*Table311[[#This Row],[FX]])+Table210[[#This Row],[Unit cost]]</f>
        <v>0</v>
      </c>
      <c r="M328" s="44">
        <f>I328*Table2[[#This Row],[Unit cost FX]]</f>
        <v>0</v>
      </c>
      <c r="N328" s="47"/>
      <c r="O328" s="37">
        <f>Table2[[#This Row],[Unit cost FX]]*N328+Table2[[#This Row],[Unit cost FX]]</f>
        <v>0</v>
      </c>
      <c r="P328" s="44">
        <f>'H.W&amp;S.W&amp;Services'!$O328*'H.W&amp;S.W&amp;Services'!$I328</f>
        <v>0</v>
      </c>
    </row>
    <row r="329" spans="1:16" ht="15" customHeight="1" x14ac:dyDescent="0.2">
      <c r="A329" s="40"/>
      <c r="B329" s="31"/>
      <c r="C329" s="41"/>
      <c r="D329" s="49"/>
      <c r="E329" s="49"/>
      <c r="F329" s="49"/>
      <c r="G329" s="50"/>
      <c r="H329" s="41"/>
      <c r="I329" s="42"/>
      <c r="J329" s="46"/>
      <c r="K329" s="47"/>
      <c r="L329" s="34">
        <f>(Table210[[#This Row],[Unit cost]]*Table311[[#This Row],[FX]])+Table210[[#This Row],[Unit cost]]</f>
        <v>0</v>
      </c>
      <c r="M329" s="44">
        <f>I329*Table2[[#This Row],[Unit cost FX]]</f>
        <v>0</v>
      </c>
      <c r="N329" s="47"/>
      <c r="O329" s="37">
        <f>Table2[[#This Row],[Unit cost FX]]*N329+Table2[[#This Row],[Unit cost FX]]</f>
        <v>0</v>
      </c>
      <c r="P329" s="44">
        <f>'H.W&amp;S.W&amp;Services'!$O329*'H.W&amp;S.W&amp;Services'!$I329</f>
        <v>0</v>
      </c>
    </row>
    <row r="330" spans="1:16" ht="15" customHeight="1" x14ac:dyDescent="0.2">
      <c r="A330" s="40"/>
      <c r="B330" s="31"/>
      <c r="C330" s="41"/>
      <c r="D330" s="49"/>
      <c r="E330" s="49"/>
      <c r="F330" s="49"/>
      <c r="G330" s="50"/>
      <c r="H330" s="41"/>
      <c r="I330" s="42"/>
      <c r="J330" s="46"/>
      <c r="K330" s="47"/>
      <c r="L330" s="34">
        <f>(Table210[[#This Row],[Unit cost]]*Table311[[#This Row],[FX]])+Table210[[#This Row],[Unit cost]]</f>
        <v>0</v>
      </c>
      <c r="M330" s="44">
        <f>I330*Table2[[#This Row],[Unit cost FX]]</f>
        <v>0</v>
      </c>
      <c r="N330" s="47"/>
      <c r="O330" s="37">
        <f>Table2[[#This Row],[Unit cost FX]]*N330+Table2[[#This Row],[Unit cost FX]]</f>
        <v>0</v>
      </c>
      <c r="P330" s="44">
        <f>'H.W&amp;S.W&amp;Services'!$O330*'H.W&amp;S.W&amp;Services'!$I330</f>
        <v>0</v>
      </c>
    </row>
    <row r="331" spans="1:16" ht="15" customHeight="1" x14ac:dyDescent="0.2">
      <c r="A331" s="40"/>
      <c r="B331" s="31"/>
      <c r="C331" s="41"/>
      <c r="D331" s="49"/>
      <c r="E331" s="49"/>
      <c r="F331" s="49"/>
      <c r="G331" s="50"/>
      <c r="H331" s="41"/>
      <c r="I331" s="42"/>
      <c r="J331" s="46"/>
      <c r="K331" s="47"/>
      <c r="L331" s="34">
        <f>(Table210[[#This Row],[Unit cost]]*Table311[[#This Row],[FX]])+Table210[[#This Row],[Unit cost]]</f>
        <v>0</v>
      </c>
      <c r="M331" s="44">
        <f>I331*Table2[[#This Row],[Unit cost FX]]</f>
        <v>0</v>
      </c>
      <c r="N331" s="47"/>
      <c r="O331" s="37">
        <f>Table2[[#This Row],[Unit cost FX]]*N331+Table2[[#This Row],[Unit cost FX]]</f>
        <v>0</v>
      </c>
      <c r="P331" s="44">
        <f>'H.W&amp;S.W&amp;Services'!$O331*'H.W&amp;S.W&amp;Services'!$I331</f>
        <v>0</v>
      </c>
    </row>
    <row r="332" spans="1:16" ht="15" customHeight="1" x14ac:dyDescent="0.2">
      <c r="A332" s="40"/>
      <c r="B332" s="31"/>
      <c r="C332" s="41"/>
      <c r="D332" s="49"/>
      <c r="E332" s="49"/>
      <c r="F332" s="49"/>
      <c r="G332" s="50"/>
      <c r="H332" s="41"/>
      <c r="I332" s="42"/>
      <c r="J332" s="46"/>
      <c r="K332" s="47"/>
      <c r="L332" s="34">
        <f>(Table210[[#This Row],[Unit cost]]*Table311[[#This Row],[FX]])+Table210[[#This Row],[Unit cost]]</f>
        <v>0</v>
      </c>
      <c r="M332" s="44">
        <f>I332*Table2[[#This Row],[Unit cost FX]]</f>
        <v>0</v>
      </c>
      <c r="N332" s="47"/>
      <c r="O332" s="37">
        <f>Table2[[#This Row],[Unit cost FX]]*N332+Table2[[#This Row],[Unit cost FX]]</f>
        <v>0</v>
      </c>
      <c r="P332" s="44">
        <f>'H.W&amp;S.W&amp;Services'!$O332*'H.W&amp;S.W&amp;Services'!$I332</f>
        <v>0</v>
      </c>
    </row>
    <row r="333" spans="1:16" ht="15" customHeight="1" x14ac:dyDescent="0.2">
      <c r="A333" s="40"/>
      <c r="B333" s="31"/>
      <c r="C333" s="41"/>
      <c r="D333" s="49"/>
      <c r="E333" s="49"/>
      <c r="F333" s="49"/>
      <c r="G333" s="50"/>
      <c r="H333" s="41"/>
      <c r="I333" s="42"/>
      <c r="J333" s="46"/>
      <c r="K333" s="47"/>
      <c r="L333" s="34">
        <f>(Table210[[#This Row],[Unit cost]]*Table311[[#This Row],[FX]])+Table210[[#This Row],[Unit cost]]</f>
        <v>0</v>
      </c>
      <c r="M333" s="44">
        <f>I333*Table2[[#This Row],[Unit cost FX]]</f>
        <v>0</v>
      </c>
      <c r="N333" s="47"/>
      <c r="O333" s="37">
        <f>Table2[[#This Row],[Unit cost FX]]*N333+Table2[[#This Row],[Unit cost FX]]</f>
        <v>0</v>
      </c>
      <c r="P333" s="44">
        <f>'H.W&amp;S.W&amp;Services'!$O333*'H.W&amp;S.W&amp;Services'!$I333</f>
        <v>0</v>
      </c>
    </row>
    <row r="334" spans="1:16" ht="15" customHeight="1" x14ac:dyDescent="0.2">
      <c r="A334" s="40"/>
      <c r="B334" s="31"/>
      <c r="C334" s="41"/>
      <c r="D334" s="49"/>
      <c r="E334" s="49"/>
      <c r="F334" s="49"/>
      <c r="G334" s="50"/>
      <c r="H334" s="41"/>
      <c r="I334" s="42"/>
      <c r="J334" s="46"/>
      <c r="K334" s="47"/>
      <c r="L334" s="34">
        <f>(Table210[[#This Row],[Unit cost]]*Table311[[#This Row],[FX]])+Table210[[#This Row],[Unit cost]]</f>
        <v>0</v>
      </c>
      <c r="M334" s="44">
        <f>I334*Table2[[#This Row],[Unit cost FX]]</f>
        <v>0</v>
      </c>
      <c r="N334" s="47"/>
      <c r="O334" s="37">
        <f>Table2[[#This Row],[Unit cost FX]]*N334+Table2[[#This Row],[Unit cost FX]]</f>
        <v>0</v>
      </c>
      <c r="P334" s="44">
        <f>'H.W&amp;S.W&amp;Services'!$O334*'H.W&amp;S.W&amp;Services'!$I334</f>
        <v>0</v>
      </c>
    </row>
    <row r="335" spans="1:16" ht="15" customHeight="1" x14ac:dyDescent="0.2">
      <c r="A335" s="40"/>
      <c r="B335" s="31"/>
      <c r="C335" s="41"/>
      <c r="D335" s="49"/>
      <c r="E335" s="49"/>
      <c r="F335" s="49"/>
      <c r="G335" s="50"/>
      <c r="H335" s="41"/>
      <c r="I335" s="42"/>
      <c r="J335" s="46"/>
      <c r="K335" s="47"/>
      <c r="L335" s="34">
        <f>(Table210[[#This Row],[Unit cost]]*Table311[[#This Row],[FX]])+Table210[[#This Row],[Unit cost]]</f>
        <v>0</v>
      </c>
      <c r="M335" s="44">
        <f>I335*Table2[[#This Row],[Unit cost FX]]</f>
        <v>0</v>
      </c>
      <c r="N335" s="47"/>
      <c r="O335" s="37">
        <f>Table2[[#This Row],[Unit cost FX]]*N335+Table2[[#This Row],[Unit cost FX]]</f>
        <v>0</v>
      </c>
      <c r="P335" s="44">
        <f>'H.W&amp;S.W&amp;Services'!$O335*'H.W&amp;S.W&amp;Services'!$I335</f>
        <v>0</v>
      </c>
    </row>
    <row r="336" spans="1:16" ht="15" customHeight="1" x14ac:dyDescent="0.2">
      <c r="A336" s="40"/>
      <c r="B336" s="31"/>
      <c r="C336" s="41"/>
      <c r="D336" s="49"/>
      <c r="E336" s="49"/>
      <c r="F336" s="49"/>
      <c r="G336" s="50"/>
      <c r="H336" s="41"/>
      <c r="I336" s="42"/>
      <c r="J336" s="46"/>
      <c r="K336" s="47"/>
      <c r="L336" s="34">
        <f>(Table210[[#This Row],[Unit cost]]*Table311[[#This Row],[FX]])+Table210[[#This Row],[Unit cost]]</f>
        <v>0</v>
      </c>
      <c r="M336" s="44">
        <f>I336*Table2[[#This Row],[Unit cost FX]]</f>
        <v>0</v>
      </c>
      <c r="N336" s="47"/>
      <c r="O336" s="37">
        <f>Table2[[#This Row],[Unit cost FX]]*N336+Table2[[#This Row],[Unit cost FX]]</f>
        <v>0</v>
      </c>
      <c r="P336" s="44">
        <f>'H.W&amp;S.W&amp;Services'!$O336*'H.W&amp;S.W&amp;Services'!$I336</f>
        <v>0</v>
      </c>
    </row>
    <row r="337" spans="1:16" ht="15" customHeight="1" x14ac:dyDescent="0.2">
      <c r="A337" s="40"/>
      <c r="B337" s="31"/>
      <c r="C337" s="41"/>
      <c r="D337" s="49"/>
      <c r="E337" s="49"/>
      <c r="F337" s="49"/>
      <c r="G337" s="50"/>
      <c r="H337" s="41"/>
      <c r="I337" s="42"/>
      <c r="J337" s="46"/>
      <c r="K337" s="47"/>
      <c r="L337" s="34">
        <f>(Table210[[#This Row],[Unit cost]]*Table311[[#This Row],[FX]])+Table210[[#This Row],[Unit cost]]</f>
        <v>0</v>
      </c>
      <c r="M337" s="44">
        <f>I337*Table2[[#This Row],[Unit cost FX]]</f>
        <v>0</v>
      </c>
      <c r="N337" s="47"/>
      <c r="O337" s="37">
        <f>Table2[[#This Row],[Unit cost FX]]*N337+Table2[[#This Row],[Unit cost FX]]</f>
        <v>0</v>
      </c>
      <c r="P337" s="44">
        <f>'H.W&amp;S.W&amp;Services'!$O337*'H.W&amp;S.W&amp;Services'!$I337</f>
        <v>0</v>
      </c>
    </row>
    <row r="338" spans="1:16" ht="15" customHeight="1" x14ac:dyDescent="0.2">
      <c r="A338" s="40"/>
      <c r="B338" s="31"/>
      <c r="C338" s="41"/>
      <c r="D338" s="49"/>
      <c r="E338" s="49"/>
      <c r="F338" s="49"/>
      <c r="G338" s="50"/>
      <c r="H338" s="41"/>
      <c r="I338" s="42"/>
      <c r="J338" s="46"/>
      <c r="K338" s="47"/>
      <c r="L338" s="34">
        <f>(Table210[[#This Row],[Unit cost]]*Table311[[#This Row],[FX]])+Table210[[#This Row],[Unit cost]]</f>
        <v>0</v>
      </c>
      <c r="M338" s="44">
        <f>I338*Table2[[#This Row],[Unit cost FX]]</f>
        <v>0</v>
      </c>
      <c r="N338" s="47"/>
      <c r="O338" s="37">
        <f>Table2[[#This Row],[Unit cost FX]]*N338+Table2[[#This Row],[Unit cost FX]]</f>
        <v>0</v>
      </c>
      <c r="P338" s="44">
        <f>'H.W&amp;S.W&amp;Services'!$O338*'H.W&amp;S.W&amp;Services'!$I338</f>
        <v>0</v>
      </c>
    </row>
    <row r="339" spans="1:16" ht="15" customHeight="1" x14ac:dyDescent="0.2">
      <c r="A339" s="40"/>
      <c r="B339" s="31"/>
      <c r="C339" s="41"/>
      <c r="D339" s="49"/>
      <c r="E339" s="49"/>
      <c r="F339" s="49"/>
      <c r="G339" s="50"/>
      <c r="H339" s="41"/>
      <c r="I339" s="42"/>
      <c r="J339" s="46"/>
      <c r="K339" s="47"/>
      <c r="L339" s="34">
        <f>(Table210[[#This Row],[Unit cost]]*Table311[[#This Row],[FX]])+Table210[[#This Row],[Unit cost]]</f>
        <v>0</v>
      </c>
      <c r="M339" s="44">
        <f>I339*Table2[[#This Row],[Unit cost FX]]</f>
        <v>0</v>
      </c>
      <c r="N339" s="47"/>
      <c r="O339" s="37">
        <f>Table2[[#This Row],[Unit cost FX]]*N339+Table2[[#This Row],[Unit cost FX]]</f>
        <v>0</v>
      </c>
      <c r="P339" s="44">
        <f>'H.W&amp;S.W&amp;Services'!$O339*'H.W&amp;S.W&amp;Services'!$I339</f>
        <v>0</v>
      </c>
    </row>
    <row r="340" spans="1:16" ht="15" customHeight="1" x14ac:dyDescent="0.2">
      <c r="A340" s="40"/>
      <c r="B340" s="31"/>
      <c r="C340" s="41"/>
      <c r="D340" s="49"/>
      <c r="E340" s="49"/>
      <c r="F340" s="49"/>
      <c r="G340" s="50"/>
      <c r="H340" s="41"/>
      <c r="I340" s="42"/>
      <c r="J340" s="46"/>
      <c r="K340" s="47"/>
      <c r="L340" s="34">
        <f>(Table210[[#This Row],[Unit cost]]*Table311[[#This Row],[FX]])+Table210[[#This Row],[Unit cost]]</f>
        <v>0</v>
      </c>
      <c r="M340" s="44">
        <f>I340*Table2[[#This Row],[Unit cost FX]]</f>
        <v>0</v>
      </c>
      <c r="N340" s="47"/>
      <c r="O340" s="37">
        <f>Table2[[#This Row],[Unit cost FX]]*N340+Table2[[#This Row],[Unit cost FX]]</f>
        <v>0</v>
      </c>
      <c r="P340" s="44">
        <f>'H.W&amp;S.W&amp;Services'!$O340*'H.W&amp;S.W&amp;Services'!$I340</f>
        <v>0</v>
      </c>
    </row>
    <row r="341" spans="1:16" ht="15" customHeight="1" x14ac:dyDescent="0.2">
      <c r="A341" s="40"/>
      <c r="B341" s="31"/>
      <c r="C341" s="41"/>
      <c r="D341" s="49"/>
      <c r="E341" s="49"/>
      <c r="F341" s="49"/>
      <c r="G341" s="50"/>
      <c r="H341" s="41"/>
      <c r="I341" s="42"/>
      <c r="J341" s="46"/>
      <c r="K341" s="47"/>
      <c r="L341" s="34">
        <f>(Table210[[#This Row],[Unit cost]]*Table311[[#This Row],[FX]])+Table210[[#This Row],[Unit cost]]</f>
        <v>0</v>
      </c>
      <c r="M341" s="44">
        <f>I341*Table2[[#This Row],[Unit cost FX]]</f>
        <v>0</v>
      </c>
      <c r="N341" s="47"/>
      <c r="O341" s="37">
        <f>Table2[[#This Row],[Unit cost FX]]*N341+Table2[[#This Row],[Unit cost FX]]</f>
        <v>0</v>
      </c>
      <c r="P341" s="44">
        <f>'H.W&amp;S.W&amp;Services'!$O341*'H.W&amp;S.W&amp;Services'!$I341</f>
        <v>0</v>
      </c>
    </row>
    <row r="342" spans="1:16" ht="15" customHeight="1" x14ac:dyDescent="0.2">
      <c r="A342" s="40"/>
      <c r="B342" s="31"/>
      <c r="C342" s="41"/>
      <c r="D342" s="49"/>
      <c r="E342" s="49"/>
      <c r="F342" s="49"/>
      <c r="G342" s="50"/>
      <c r="H342" s="41"/>
      <c r="I342" s="42"/>
      <c r="J342" s="46"/>
      <c r="K342" s="47"/>
      <c r="L342" s="34">
        <f>(Table210[[#This Row],[Unit cost]]*Table311[[#This Row],[FX]])+Table210[[#This Row],[Unit cost]]</f>
        <v>0</v>
      </c>
      <c r="M342" s="44">
        <f>I342*Table2[[#This Row],[Unit cost FX]]</f>
        <v>0</v>
      </c>
      <c r="N342" s="47"/>
      <c r="O342" s="37">
        <f>Table2[[#This Row],[Unit cost FX]]*N342+Table2[[#This Row],[Unit cost FX]]</f>
        <v>0</v>
      </c>
      <c r="P342" s="44">
        <f>'H.W&amp;S.W&amp;Services'!$O342*'H.W&amp;S.W&amp;Services'!$I342</f>
        <v>0</v>
      </c>
    </row>
    <row r="343" spans="1:16" ht="15" customHeight="1" x14ac:dyDescent="0.2">
      <c r="A343" s="40"/>
      <c r="B343" s="31"/>
      <c r="C343" s="41"/>
      <c r="D343" s="49"/>
      <c r="E343" s="49"/>
      <c r="F343" s="49"/>
      <c r="G343" s="50"/>
      <c r="H343" s="41"/>
      <c r="I343" s="42"/>
      <c r="J343" s="46"/>
      <c r="K343" s="47"/>
      <c r="L343" s="34">
        <f>(Table210[[#This Row],[Unit cost]]*Table311[[#This Row],[FX]])+Table210[[#This Row],[Unit cost]]</f>
        <v>0</v>
      </c>
      <c r="M343" s="44">
        <f>I343*Table2[[#This Row],[Unit cost FX]]</f>
        <v>0</v>
      </c>
      <c r="N343" s="47"/>
      <c r="O343" s="37">
        <f>Table2[[#This Row],[Unit cost FX]]*N343+Table2[[#This Row],[Unit cost FX]]</f>
        <v>0</v>
      </c>
      <c r="P343" s="44">
        <f>'H.W&amp;S.W&amp;Services'!$O343*'H.W&amp;S.W&amp;Services'!$I343</f>
        <v>0</v>
      </c>
    </row>
    <row r="344" spans="1:16" ht="15" customHeight="1" x14ac:dyDescent="0.2">
      <c r="A344" s="40"/>
      <c r="B344" s="31"/>
      <c r="C344" s="41"/>
      <c r="D344" s="49"/>
      <c r="E344" s="49"/>
      <c r="F344" s="49"/>
      <c r="G344" s="50"/>
      <c r="H344" s="41"/>
      <c r="I344" s="42"/>
      <c r="J344" s="46"/>
      <c r="K344" s="47"/>
      <c r="L344" s="34">
        <f>(Table210[[#This Row],[Unit cost]]*Table311[[#This Row],[FX]])+Table210[[#This Row],[Unit cost]]</f>
        <v>0</v>
      </c>
      <c r="M344" s="44">
        <f>I344*Table2[[#This Row],[Unit cost FX]]</f>
        <v>0</v>
      </c>
      <c r="N344" s="47"/>
      <c r="O344" s="37">
        <f>Table2[[#This Row],[Unit cost FX]]*N344+Table2[[#This Row],[Unit cost FX]]</f>
        <v>0</v>
      </c>
      <c r="P344" s="44">
        <f>'H.W&amp;S.W&amp;Services'!$O344*'H.W&amp;S.W&amp;Services'!$I344</f>
        <v>0</v>
      </c>
    </row>
    <row r="345" spans="1:16" ht="15" customHeight="1" x14ac:dyDescent="0.2">
      <c r="A345" s="40"/>
      <c r="B345" s="31"/>
      <c r="C345" s="41"/>
      <c r="D345" s="49"/>
      <c r="E345" s="49"/>
      <c r="F345" s="49"/>
      <c r="G345" s="50"/>
      <c r="H345" s="41"/>
      <c r="I345" s="42"/>
      <c r="J345" s="46"/>
      <c r="K345" s="47"/>
      <c r="L345" s="34">
        <f>(Table210[[#This Row],[Unit cost]]*Table311[[#This Row],[FX]])+Table210[[#This Row],[Unit cost]]</f>
        <v>0</v>
      </c>
      <c r="M345" s="44">
        <f>I345*Table2[[#This Row],[Unit cost FX]]</f>
        <v>0</v>
      </c>
      <c r="N345" s="47"/>
      <c r="O345" s="37">
        <f>Table2[[#This Row],[Unit cost FX]]*N345+Table2[[#This Row],[Unit cost FX]]</f>
        <v>0</v>
      </c>
      <c r="P345" s="44">
        <f>'H.W&amp;S.W&amp;Services'!$O345*'H.W&amp;S.W&amp;Services'!$I345</f>
        <v>0</v>
      </c>
    </row>
    <row r="346" spans="1:16" ht="15" customHeight="1" x14ac:dyDescent="0.2">
      <c r="A346" s="40"/>
      <c r="B346" s="31"/>
      <c r="C346" s="41"/>
      <c r="D346" s="49"/>
      <c r="E346" s="49"/>
      <c r="F346" s="49"/>
      <c r="G346" s="50"/>
      <c r="H346" s="41"/>
      <c r="I346" s="42"/>
      <c r="J346" s="46"/>
      <c r="K346" s="47"/>
      <c r="L346" s="34">
        <f>(Table210[[#This Row],[Unit cost]]*Table311[[#This Row],[FX]])+Table210[[#This Row],[Unit cost]]</f>
        <v>0</v>
      </c>
      <c r="M346" s="44">
        <f>I346*Table2[[#This Row],[Unit cost FX]]</f>
        <v>0</v>
      </c>
      <c r="N346" s="47"/>
      <c r="O346" s="37">
        <f>Table2[[#This Row],[Unit cost FX]]*N346+Table2[[#This Row],[Unit cost FX]]</f>
        <v>0</v>
      </c>
      <c r="P346" s="44">
        <f>'H.W&amp;S.W&amp;Services'!$O346*'H.W&amp;S.W&amp;Services'!$I346</f>
        <v>0</v>
      </c>
    </row>
    <row r="347" spans="1:16" ht="15" customHeight="1" x14ac:dyDescent="0.2">
      <c r="A347" s="40"/>
      <c r="B347" s="31"/>
      <c r="C347" s="41"/>
      <c r="D347" s="49"/>
      <c r="E347" s="49"/>
      <c r="F347" s="49"/>
      <c r="G347" s="50"/>
      <c r="H347" s="41"/>
      <c r="I347" s="42"/>
      <c r="J347" s="46"/>
      <c r="K347" s="47"/>
      <c r="L347" s="34">
        <f>(Table210[[#This Row],[Unit cost]]*Table311[[#This Row],[FX]])+Table210[[#This Row],[Unit cost]]</f>
        <v>0</v>
      </c>
      <c r="M347" s="44">
        <f>I347*Table2[[#This Row],[Unit cost FX]]</f>
        <v>0</v>
      </c>
      <c r="N347" s="47"/>
      <c r="O347" s="37">
        <f>Table2[[#This Row],[Unit cost FX]]*N347+Table2[[#This Row],[Unit cost FX]]</f>
        <v>0</v>
      </c>
      <c r="P347" s="44">
        <f>'H.W&amp;S.W&amp;Services'!$O347*'H.W&amp;S.W&amp;Services'!$I347</f>
        <v>0</v>
      </c>
    </row>
    <row r="348" spans="1:16" ht="15" customHeight="1" x14ac:dyDescent="0.2">
      <c r="A348" s="40"/>
      <c r="B348" s="31"/>
      <c r="C348" s="41"/>
      <c r="D348" s="49"/>
      <c r="E348" s="49"/>
      <c r="F348" s="49"/>
      <c r="G348" s="50"/>
      <c r="H348" s="41"/>
      <c r="I348" s="42"/>
      <c r="J348" s="46"/>
      <c r="K348" s="47"/>
      <c r="L348" s="34">
        <f>(Table210[[#This Row],[Unit cost]]*Table311[[#This Row],[FX]])+Table210[[#This Row],[Unit cost]]</f>
        <v>0</v>
      </c>
      <c r="M348" s="44">
        <f>I348*Table2[[#This Row],[Unit cost FX]]</f>
        <v>0</v>
      </c>
      <c r="N348" s="47"/>
      <c r="O348" s="37">
        <f>Table2[[#This Row],[Unit cost FX]]*N348+Table2[[#This Row],[Unit cost FX]]</f>
        <v>0</v>
      </c>
      <c r="P348" s="44">
        <f>'H.W&amp;S.W&amp;Services'!$O348*'H.W&amp;S.W&amp;Services'!$I348</f>
        <v>0</v>
      </c>
    </row>
    <row r="349" spans="1:16" ht="15" customHeight="1" x14ac:dyDescent="0.2">
      <c r="A349" s="40"/>
      <c r="B349" s="31"/>
      <c r="C349" s="41"/>
      <c r="D349" s="49"/>
      <c r="E349" s="49"/>
      <c r="F349" s="49"/>
      <c r="G349" s="50"/>
      <c r="H349" s="41"/>
      <c r="I349" s="42"/>
      <c r="J349" s="46"/>
      <c r="K349" s="47"/>
      <c r="L349" s="34">
        <f>(Table210[[#This Row],[Unit cost]]*Table311[[#This Row],[FX]])+Table210[[#This Row],[Unit cost]]</f>
        <v>0</v>
      </c>
      <c r="M349" s="44">
        <f>I349*Table2[[#This Row],[Unit cost FX]]</f>
        <v>0</v>
      </c>
      <c r="N349" s="47"/>
      <c r="O349" s="37">
        <f>Table2[[#This Row],[Unit cost FX]]*N349+Table2[[#This Row],[Unit cost FX]]</f>
        <v>0</v>
      </c>
      <c r="P349" s="44">
        <f>'H.W&amp;S.W&amp;Services'!$O349*'H.W&amp;S.W&amp;Services'!$I349</f>
        <v>0</v>
      </c>
    </row>
    <row r="350" spans="1:16" ht="15" customHeight="1" x14ac:dyDescent="0.2">
      <c r="A350" s="40"/>
      <c r="B350" s="31"/>
      <c r="C350" s="41"/>
      <c r="D350" s="49"/>
      <c r="E350" s="49"/>
      <c r="F350" s="49"/>
      <c r="G350" s="50"/>
      <c r="H350" s="41"/>
      <c r="I350" s="42"/>
      <c r="J350" s="46"/>
      <c r="K350" s="47"/>
      <c r="L350" s="76">
        <f>(Table210[[#This Row],[Unit cost]]*Table311[[#This Row],[FX]])+Table210[[#This Row],[Unit cost]]</f>
        <v>0</v>
      </c>
      <c r="M350" s="77">
        <f>I350*Table2[[#This Row],[Unit cost FX]]</f>
        <v>0</v>
      </c>
      <c r="N350" s="47"/>
      <c r="O350" s="37">
        <f>Table2[[#This Row],[Unit cost FX]]*N350+Table2[[#This Row],[Unit cost FX]]</f>
        <v>0</v>
      </c>
      <c r="P350" s="44">
        <f>'H.W&amp;S.W&amp;Services'!$O350*'H.W&amp;S.W&amp;Services'!$I350</f>
        <v>0</v>
      </c>
    </row>
  </sheetData>
  <mergeCells count="10">
    <mergeCell ref="A3:B3"/>
    <mergeCell ref="A4:B4"/>
    <mergeCell ref="A5:B5"/>
    <mergeCell ref="A6:B6"/>
    <mergeCell ref="A12:B12"/>
    <mergeCell ref="A7:B7"/>
    <mergeCell ref="A8:B8"/>
    <mergeCell ref="A9:B9"/>
    <mergeCell ref="A10:B10"/>
    <mergeCell ref="A11:B11"/>
  </mergeCells>
  <phoneticPr fontId="8" type="noConversion"/>
  <conditionalFormatting sqref="P9 P14">
    <cfRule type="colorScale" priority="2">
      <colorScale>
        <cfvo type="num" val="0"/>
        <cfvo type="num" val="0.3"/>
        <color rgb="FFFF0000"/>
        <color rgb="FF00B0F0"/>
      </colorScale>
    </cfRule>
  </conditionalFormatting>
  <dataValidations count="8">
    <dataValidation type="list" allowBlank="1" showInputMessage="1" showErrorMessage="1" sqref="M5 P5" xr:uid="{00000000-0002-0000-0100-000000000000}">
      <formula1>"yes,No"</formula1>
      <formula2>0</formula2>
    </dataValidation>
    <dataValidation type="whole" operator="greaterThan" allowBlank="1" showInputMessage="1" showErrorMessage="1" sqref="I28 I41 I56:I350" xr:uid="{00000000-0002-0000-0100-000001000000}">
      <formula1>0</formula1>
      <formula2>0</formula2>
    </dataValidation>
    <dataValidation type="list" allowBlank="1" showInputMessage="1" showErrorMessage="1" sqref="B16:B350" xr:uid="{00000000-0002-0000-0100-000002000000}">
      <formula1>"Hardware,Software,Outsourced Services,Professional Services,Service Level Agreement SLA,Resident Engineer,Managed Services"</formula1>
      <formula2>0</formula2>
    </dataValidation>
    <dataValidation type="list" allowBlank="1" showInputMessage="1" showErrorMessage="1" sqref="G16:G350" xr:uid="{00000000-0002-0000-0100-000004000000}">
      <formula1>"Renwal, New"</formula1>
    </dataValidation>
    <dataValidation type="list" allowBlank="1" showInputMessage="1" showErrorMessage="1" sqref="A10 A12" xr:uid="{00000000-0002-0000-0100-000006000000}">
      <formula1>"USD,EGP,AED"</formula1>
    </dataValidation>
    <dataValidation type="decimal" operator="greaterThan" allowBlank="1" showErrorMessage="1" sqref="I16:I27 I29:I40 I42:I55" xr:uid="{27673755-E001-40CB-95D0-C67CD3BDB76A}">
      <formula1>0</formula1>
    </dataValidation>
    <dataValidation type="list" allowBlank="1" showInputMessage="1" showErrorMessage="1" sqref="F16:F350" xr:uid="{0A711D91-C007-7A41-996D-82A1E39D32B7}">
      <formula1>$Z$2:$Z$33</formula1>
    </dataValidation>
    <dataValidation type="list" allowBlank="1" showInputMessage="1" showErrorMessage="1" sqref="C13:G13" xr:uid="{00000000-0002-0000-0100-000003000000}">
      <formula1>"USD,EGP"</formula1>
      <formula2>0</formula2>
    </dataValidation>
  </dataValidations>
  <pageMargins left="0.7" right="0.7" top="0.75" bottom="0.75" header="0.511811023622047" footer="0.3"/>
  <pageSetup paperSize="9" scale="48" orientation="portrait" horizontalDpi="300" verticalDpi="300"/>
  <headerFooter>
    <oddFooter>&amp;R&amp;"Blackadder ITC,Regular"&amp;16El Okaby Gaweesh</oddFooter>
  </headerFooter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>
      <selection activeCell="I24" sqref="I24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ODOO</vt:lpstr>
      <vt:lpstr>H.W&amp;S.W&amp;Services</vt:lpstr>
      <vt:lpstr>Sheet1</vt:lpstr>
      <vt:lpstr>Cate</vt:lpstr>
      <vt:lpstr>Category</vt:lpstr>
      <vt:lpstr>'H.W&amp;S.W&amp;Services'!Criteria</vt:lpstr>
      <vt:lpstr>'H.W&amp;S.W&amp;Services'!Extract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Ahmed Hussein</cp:lastModifiedBy>
  <cp:revision>10</cp:revision>
  <dcterms:created xsi:type="dcterms:W3CDTF">2023-02-12T17:51:21Z</dcterms:created>
  <dcterms:modified xsi:type="dcterms:W3CDTF">2025-06-01T09:27:30Z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